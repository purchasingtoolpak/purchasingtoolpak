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360" yWindow="90" windowWidth="14235" windowHeight="8700"/>
  </bookViews>
  <sheets>
    <sheet name="Sheet1" sheetId="1" r:id="rId1"/>
  </sheets>
  <calcPr calcId="124519"/>
</workbook>
</file>

<file path=xl/calcChain.xml><?xml version="1.0" encoding="utf-8"?>
<calcChain xmlns="http://schemas.openxmlformats.org/spreadsheetml/2006/main">
  <c r="G11" i="1"/>
  <c r="G12"/>
  <c r="G13"/>
  <c r="G14"/>
  <c r="G15"/>
  <c r="G16"/>
  <c r="G17"/>
  <c r="G18"/>
  <c r="G19"/>
  <c r="B11"/>
  <c r="G10"/>
  <c r="H23"/>
  <c r="H24"/>
  <c r="H25"/>
  <c r="H26"/>
  <c r="H27"/>
  <c r="H28"/>
  <c r="H29"/>
  <c r="H30"/>
  <c r="H31"/>
  <c r="H32"/>
  <c r="H5"/>
  <c r="F23"/>
  <c r="F24"/>
  <c r="F25"/>
  <c r="F26"/>
  <c r="F27"/>
  <c r="F28"/>
  <c r="F29"/>
  <c r="F30"/>
  <c r="F31"/>
  <c r="F32"/>
  <c r="F5"/>
  <c r="H6"/>
  <c r="I23"/>
  <c r="I24"/>
  <c r="I25"/>
  <c r="I26"/>
  <c r="I27"/>
  <c r="I28"/>
  <c r="I29"/>
  <c r="I30"/>
  <c r="I31"/>
  <c r="I32"/>
  <c r="I5"/>
  <c r="I6"/>
  <c r="J23"/>
  <c r="J24"/>
  <c r="J25"/>
  <c r="J26"/>
  <c r="J27"/>
  <c r="J28"/>
  <c r="J29"/>
  <c r="J30"/>
  <c r="J31"/>
  <c r="J32"/>
  <c r="J5"/>
  <c r="J6"/>
  <c r="K23"/>
  <c r="K24"/>
  <c r="K25"/>
  <c r="K26"/>
  <c r="K27"/>
  <c r="K28"/>
  <c r="K29"/>
  <c r="K30"/>
  <c r="K31"/>
  <c r="K32"/>
  <c r="K5"/>
  <c r="K6"/>
  <c r="L23"/>
  <c r="L24"/>
  <c r="L25"/>
  <c r="L26"/>
  <c r="L27"/>
  <c r="L28"/>
  <c r="L29"/>
  <c r="L30"/>
  <c r="L31"/>
  <c r="L32"/>
  <c r="L5"/>
  <c r="L6"/>
  <c r="G23"/>
  <c r="G24"/>
  <c r="G25"/>
  <c r="G26"/>
  <c r="G27"/>
  <c r="G28"/>
  <c r="G29"/>
  <c r="G30"/>
  <c r="G31"/>
  <c r="G32"/>
  <c r="G5"/>
  <c r="G6"/>
  <c r="D23"/>
  <c r="D24"/>
  <c r="D25"/>
  <c r="D26"/>
  <c r="D27"/>
  <c r="D28"/>
  <c r="D29"/>
  <c r="D30"/>
  <c r="D31"/>
  <c r="D32"/>
  <c r="D5"/>
  <c r="H102"/>
  <c r="I102"/>
  <c r="J102"/>
  <c r="K102"/>
  <c r="L102"/>
  <c r="H103"/>
  <c r="I103"/>
  <c r="J103"/>
  <c r="K103"/>
  <c r="L103"/>
  <c r="H104"/>
  <c r="I104"/>
  <c r="J104"/>
  <c r="K104"/>
  <c r="L104"/>
  <c r="H105"/>
  <c r="I105"/>
  <c r="J105"/>
  <c r="K105"/>
  <c r="L105"/>
  <c r="H106"/>
  <c r="I106"/>
  <c r="J106"/>
  <c r="K106"/>
  <c r="L106"/>
  <c r="H107"/>
  <c r="I107"/>
  <c r="J107"/>
  <c r="K107"/>
  <c r="L107"/>
  <c r="H108"/>
  <c r="I108"/>
  <c r="J108"/>
  <c r="K108"/>
  <c r="L108"/>
  <c r="H109"/>
  <c r="I109"/>
  <c r="J109"/>
  <c r="K109"/>
  <c r="L109"/>
  <c r="H110"/>
  <c r="I110"/>
  <c r="J110"/>
  <c r="K110"/>
  <c r="L110"/>
  <c r="I101"/>
  <c r="J101"/>
  <c r="K101"/>
  <c r="L101"/>
  <c r="H101"/>
  <c r="D102"/>
  <c r="E102"/>
  <c r="F102"/>
  <c r="D103"/>
  <c r="E103"/>
  <c r="F103"/>
  <c r="D104"/>
  <c r="E104"/>
  <c r="F104"/>
  <c r="D105"/>
  <c r="E105"/>
  <c r="F105"/>
  <c r="D106"/>
  <c r="E106"/>
  <c r="F106"/>
  <c r="D107"/>
  <c r="E107"/>
  <c r="F107"/>
  <c r="D108"/>
  <c r="E108"/>
  <c r="F108"/>
  <c r="D109"/>
  <c r="E109"/>
  <c r="F109"/>
  <c r="D110"/>
  <c r="E110"/>
  <c r="F110"/>
  <c r="F101"/>
  <c r="H89"/>
  <c r="I89"/>
  <c r="J89"/>
  <c r="K89"/>
  <c r="L89"/>
  <c r="H90"/>
  <c r="I90"/>
  <c r="J90"/>
  <c r="K90"/>
  <c r="L90"/>
  <c r="H91"/>
  <c r="I91"/>
  <c r="J91"/>
  <c r="K91"/>
  <c r="L91"/>
  <c r="H92"/>
  <c r="I92"/>
  <c r="J92"/>
  <c r="K92"/>
  <c r="L92"/>
  <c r="H93"/>
  <c r="I93"/>
  <c r="J93"/>
  <c r="K93"/>
  <c r="L93"/>
  <c r="H94"/>
  <c r="I94"/>
  <c r="J94"/>
  <c r="K94"/>
  <c r="L94"/>
  <c r="H95"/>
  <c r="I95"/>
  <c r="J95"/>
  <c r="K95"/>
  <c r="L95"/>
  <c r="H96"/>
  <c r="I96"/>
  <c r="J96"/>
  <c r="K96"/>
  <c r="L96"/>
  <c r="H97"/>
  <c r="I97"/>
  <c r="J97"/>
  <c r="K97"/>
  <c r="L97"/>
  <c r="L88"/>
  <c r="K88"/>
  <c r="J88"/>
  <c r="I88"/>
  <c r="H88"/>
  <c r="D89"/>
  <c r="E89"/>
  <c r="F89"/>
  <c r="D90"/>
  <c r="E90"/>
  <c r="F90"/>
  <c r="D91"/>
  <c r="E91"/>
  <c r="F91"/>
  <c r="D92"/>
  <c r="E92"/>
  <c r="F92"/>
  <c r="D93"/>
  <c r="E93"/>
  <c r="F93"/>
  <c r="D94"/>
  <c r="E94"/>
  <c r="F94"/>
  <c r="D95"/>
  <c r="E95"/>
  <c r="F95"/>
  <c r="D96"/>
  <c r="E96"/>
  <c r="F96"/>
  <c r="D97"/>
  <c r="E97"/>
  <c r="F97"/>
  <c r="F88"/>
  <c r="H76"/>
  <c r="I76"/>
  <c r="J76"/>
  <c r="K76"/>
  <c r="L76"/>
  <c r="H77"/>
  <c r="I77"/>
  <c r="J77"/>
  <c r="K77"/>
  <c r="L77"/>
  <c r="H78"/>
  <c r="I78"/>
  <c r="J78"/>
  <c r="K78"/>
  <c r="L78"/>
  <c r="H79"/>
  <c r="I79"/>
  <c r="J79"/>
  <c r="K79"/>
  <c r="L79"/>
  <c r="H80"/>
  <c r="I80"/>
  <c r="J80"/>
  <c r="K80"/>
  <c r="L80"/>
  <c r="H81"/>
  <c r="I81"/>
  <c r="J81"/>
  <c r="K81"/>
  <c r="L81"/>
  <c r="H82"/>
  <c r="I82"/>
  <c r="J82"/>
  <c r="K82"/>
  <c r="L82"/>
  <c r="H83"/>
  <c r="I83"/>
  <c r="J83"/>
  <c r="K83"/>
  <c r="L83"/>
  <c r="H84"/>
  <c r="I84"/>
  <c r="J84"/>
  <c r="K84"/>
  <c r="L84"/>
  <c r="L75"/>
  <c r="K75"/>
  <c r="J75"/>
  <c r="I75"/>
  <c r="H75"/>
  <c r="D76"/>
  <c r="E76"/>
  <c r="F76"/>
  <c r="D77"/>
  <c r="E77"/>
  <c r="F77"/>
  <c r="D78"/>
  <c r="E78"/>
  <c r="F78"/>
  <c r="D79"/>
  <c r="E79"/>
  <c r="F79"/>
  <c r="D80"/>
  <c r="E80"/>
  <c r="F80"/>
  <c r="D81"/>
  <c r="E81"/>
  <c r="F81"/>
  <c r="D82"/>
  <c r="E82"/>
  <c r="F82"/>
  <c r="D83"/>
  <c r="E83"/>
  <c r="F83"/>
  <c r="D84"/>
  <c r="E84"/>
  <c r="F84"/>
  <c r="F75"/>
  <c r="D63"/>
  <c r="E63"/>
  <c r="G63"/>
  <c r="H63"/>
  <c r="I63"/>
  <c r="J63"/>
  <c r="K63"/>
  <c r="L63"/>
  <c r="D64"/>
  <c r="E64"/>
  <c r="G64"/>
  <c r="H64"/>
  <c r="I64"/>
  <c r="J64"/>
  <c r="K64"/>
  <c r="L64"/>
  <c r="D65"/>
  <c r="E65"/>
  <c r="G65"/>
  <c r="H65"/>
  <c r="I65"/>
  <c r="J65"/>
  <c r="K65"/>
  <c r="L65"/>
  <c r="D66"/>
  <c r="E66"/>
  <c r="G66"/>
  <c r="H66"/>
  <c r="I66"/>
  <c r="J66"/>
  <c r="K66"/>
  <c r="L66"/>
  <c r="D67"/>
  <c r="E67"/>
  <c r="G67"/>
  <c r="H67"/>
  <c r="I67"/>
  <c r="J67"/>
  <c r="K67"/>
  <c r="L67"/>
  <c r="D68"/>
  <c r="E68"/>
  <c r="G68"/>
  <c r="H68"/>
  <c r="I68"/>
  <c r="J68"/>
  <c r="K68"/>
  <c r="L68"/>
  <c r="D69"/>
  <c r="E69"/>
  <c r="G69"/>
  <c r="H69"/>
  <c r="I69"/>
  <c r="J69"/>
  <c r="K69"/>
  <c r="L69"/>
  <c r="D70"/>
  <c r="E70"/>
  <c r="G70"/>
  <c r="H70"/>
  <c r="I70"/>
  <c r="J70"/>
  <c r="K70"/>
  <c r="L70"/>
  <c r="D71"/>
  <c r="E71"/>
  <c r="G71"/>
  <c r="H71"/>
  <c r="I71"/>
  <c r="J71"/>
  <c r="K71"/>
  <c r="L71"/>
  <c r="H62"/>
  <c r="I62"/>
  <c r="J62"/>
  <c r="K62"/>
  <c r="L62"/>
  <c r="G62"/>
  <c r="B102"/>
  <c r="C102"/>
  <c r="B12"/>
  <c r="B103"/>
  <c r="C103"/>
  <c r="B13"/>
  <c r="B104"/>
  <c r="C104"/>
  <c r="B14"/>
  <c r="B105"/>
  <c r="C105"/>
  <c r="B15"/>
  <c r="B106"/>
  <c r="C106"/>
  <c r="B16"/>
  <c r="B107"/>
  <c r="C107"/>
  <c r="B17"/>
  <c r="B108"/>
  <c r="C108"/>
  <c r="B18"/>
  <c r="B109"/>
  <c r="C109"/>
  <c r="B19"/>
  <c r="B110"/>
  <c r="C110"/>
  <c r="C101"/>
  <c r="D101"/>
  <c r="E101"/>
  <c r="B10"/>
  <c r="B101"/>
  <c r="B89"/>
  <c r="C89"/>
  <c r="B90"/>
  <c r="C90"/>
  <c r="B91"/>
  <c r="C91"/>
  <c r="B92"/>
  <c r="C92"/>
  <c r="B93"/>
  <c r="C93"/>
  <c r="B94"/>
  <c r="C94"/>
  <c r="B95"/>
  <c r="C95"/>
  <c r="B96"/>
  <c r="C96"/>
  <c r="B97"/>
  <c r="C97"/>
  <c r="C88"/>
  <c r="D88"/>
  <c r="E88"/>
  <c r="B88"/>
  <c r="B76"/>
  <c r="C76"/>
  <c r="B77"/>
  <c r="C77"/>
  <c r="B78"/>
  <c r="C78"/>
  <c r="B79"/>
  <c r="C79"/>
  <c r="B80"/>
  <c r="C80"/>
  <c r="B81"/>
  <c r="C81"/>
  <c r="B82"/>
  <c r="C82"/>
  <c r="B83"/>
  <c r="C83"/>
  <c r="B84"/>
  <c r="C84"/>
  <c r="C75"/>
  <c r="D75"/>
  <c r="E75"/>
  <c r="B75"/>
  <c r="B63"/>
  <c r="C63"/>
  <c r="B64"/>
  <c r="C64"/>
  <c r="B65"/>
  <c r="C65"/>
  <c r="B66"/>
  <c r="C66"/>
  <c r="B67"/>
  <c r="C67"/>
  <c r="B68"/>
  <c r="C68"/>
  <c r="B69"/>
  <c r="C69"/>
  <c r="B70"/>
  <c r="C70"/>
  <c r="B71"/>
  <c r="C71"/>
  <c r="C62"/>
  <c r="D62"/>
  <c r="E62"/>
  <c r="B62"/>
  <c r="D50"/>
  <c r="E50"/>
  <c r="G50"/>
  <c r="H50"/>
  <c r="I50"/>
  <c r="J50"/>
  <c r="K50"/>
  <c r="L50"/>
  <c r="D51"/>
  <c r="E51"/>
  <c r="G51"/>
  <c r="H51"/>
  <c r="I51"/>
  <c r="J51"/>
  <c r="K51"/>
  <c r="L51"/>
  <c r="D52"/>
  <c r="E52"/>
  <c r="G52"/>
  <c r="H52"/>
  <c r="I52"/>
  <c r="J52"/>
  <c r="K52"/>
  <c r="L52"/>
  <c r="D53"/>
  <c r="E53"/>
  <c r="G53"/>
  <c r="H53"/>
  <c r="I53"/>
  <c r="J53"/>
  <c r="K53"/>
  <c r="L53"/>
  <c r="D54"/>
  <c r="E54"/>
  <c r="G54"/>
  <c r="H54"/>
  <c r="I54"/>
  <c r="J54"/>
  <c r="K54"/>
  <c r="L54"/>
  <c r="D55"/>
  <c r="E55"/>
  <c r="G55"/>
  <c r="H55"/>
  <c r="I55"/>
  <c r="J55"/>
  <c r="K55"/>
  <c r="L55"/>
  <c r="D56"/>
  <c r="E56"/>
  <c r="G56"/>
  <c r="H56"/>
  <c r="I56"/>
  <c r="J56"/>
  <c r="K56"/>
  <c r="L56"/>
  <c r="D57"/>
  <c r="E57"/>
  <c r="G57"/>
  <c r="H57"/>
  <c r="I57"/>
  <c r="J57"/>
  <c r="K57"/>
  <c r="L57"/>
  <c r="D58"/>
  <c r="E58"/>
  <c r="G58"/>
  <c r="H58"/>
  <c r="I58"/>
  <c r="J58"/>
  <c r="K58"/>
  <c r="L58"/>
  <c r="H49"/>
  <c r="I49"/>
  <c r="J49"/>
  <c r="K49"/>
  <c r="L49"/>
  <c r="G49"/>
  <c r="G36"/>
  <c r="H36"/>
  <c r="I36"/>
  <c r="J36"/>
  <c r="K36"/>
  <c r="L36"/>
  <c r="B50"/>
  <c r="C50"/>
  <c r="B51"/>
  <c r="C51"/>
  <c r="B52"/>
  <c r="C52"/>
  <c r="B53"/>
  <c r="C53"/>
  <c r="B54"/>
  <c r="C54"/>
  <c r="B55"/>
  <c r="C55"/>
  <c r="B56"/>
  <c r="C56"/>
  <c r="B57"/>
  <c r="C57"/>
  <c r="B58"/>
  <c r="C58"/>
  <c r="C49"/>
  <c r="D49"/>
  <c r="E49"/>
  <c r="B49"/>
  <c r="D37"/>
  <c r="E37"/>
  <c r="G37"/>
  <c r="H37"/>
  <c r="I37"/>
  <c r="J37"/>
  <c r="K37"/>
  <c r="L37"/>
  <c r="D38"/>
  <c r="E38"/>
  <c r="G38"/>
  <c r="H38"/>
  <c r="I38"/>
  <c r="J38"/>
  <c r="K38"/>
  <c r="L38"/>
  <c r="D39"/>
  <c r="E39"/>
  <c r="G39"/>
  <c r="H39"/>
  <c r="I39"/>
  <c r="J39"/>
  <c r="K39"/>
  <c r="L39"/>
  <c r="D40"/>
  <c r="E40"/>
  <c r="G40"/>
  <c r="H40"/>
  <c r="I40"/>
  <c r="J40"/>
  <c r="K40"/>
  <c r="L40"/>
  <c r="D41"/>
  <c r="E41"/>
  <c r="G41"/>
  <c r="H41"/>
  <c r="I41"/>
  <c r="J41"/>
  <c r="K41"/>
  <c r="L41"/>
  <c r="D42"/>
  <c r="E42"/>
  <c r="G42"/>
  <c r="H42"/>
  <c r="I42"/>
  <c r="J42"/>
  <c r="K42"/>
  <c r="L42"/>
  <c r="D43"/>
  <c r="E43"/>
  <c r="G43"/>
  <c r="H43"/>
  <c r="I43"/>
  <c r="J43"/>
  <c r="K43"/>
  <c r="L43"/>
  <c r="D44"/>
  <c r="E44"/>
  <c r="G44"/>
  <c r="H44"/>
  <c r="I44"/>
  <c r="J44"/>
  <c r="K44"/>
  <c r="L44"/>
  <c r="D45"/>
  <c r="E45"/>
  <c r="G45"/>
  <c r="H45"/>
  <c r="I45"/>
  <c r="J45"/>
  <c r="K45"/>
  <c r="L45"/>
  <c r="B37"/>
  <c r="C37"/>
  <c r="B38"/>
  <c r="C38"/>
  <c r="B39"/>
  <c r="C39"/>
  <c r="B40"/>
  <c r="C40"/>
  <c r="B41"/>
  <c r="C41"/>
  <c r="B42"/>
  <c r="C42"/>
  <c r="B43"/>
  <c r="C43"/>
  <c r="B44"/>
  <c r="C44"/>
  <c r="B45"/>
  <c r="C45"/>
  <c r="B36"/>
  <c r="D36"/>
  <c r="E36"/>
  <c r="C36"/>
  <c r="B24"/>
  <c r="B25"/>
  <c r="B26"/>
  <c r="B27"/>
  <c r="B28"/>
  <c r="B29"/>
  <c r="B30"/>
  <c r="B31"/>
  <c r="B32"/>
  <c r="B23"/>
  <c r="C24"/>
  <c r="C25"/>
  <c r="C26"/>
  <c r="C27"/>
  <c r="C28"/>
  <c r="C29"/>
  <c r="C30"/>
  <c r="C31"/>
  <c r="C32"/>
  <c r="C23"/>
  <c r="E24"/>
  <c r="E25"/>
  <c r="E26"/>
  <c r="E27"/>
  <c r="E28"/>
  <c r="E29"/>
  <c r="E30"/>
  <c r="E31"/>
  <c r="E32"/>
  <c r="E23"/>
</calcChain>
</file>

<file path=xl/sharedStrings.xml><?xml version="1.0" encoding="utf-8"?>
<sst xmlns="http://schemas.openxmlformats.org/spreadsheetml/2006/main" count="114" uniqueCount="27">
  <si>
    <t>Bid Data</t>
  </si>
  <si>
    <t>Price per Unit of Measure</t>
  </si>
  <si>
    <t>Item</t>
  </si>
  <si>
    <t>Description</t>
  </si>
  <si>
    <t>Quantity</t>
  </si>
  <si>
    <t>UM</t>
  </si>
  <si>
    <t>Vendor 1</t>
  </si>
  <si>
    <t>Vendor 2</t>
  </si>
  <si>
    <t>Current Price</t>
  </si>
  <si>
    <t>Vendor 3</t>
  </si>
  <si>
    <t>Vendor 4</t>
  </si>
  <si>
    <t>Vendor 5</t>
  </si>
  <si>
    <t>Low Bid</t>
  </si>
  <si>
    <t>Line Item Total Cost</t>
  </si>
  <si>
    <t>Bid Summary</t>
  </si>
  <si>
    <t>Items</t>
  </si>
  <si>
    <t>Totals</t>
  </si>
  <si>
    <t>Percent Vs Current Price</t>
  </si>
  <si>
    <t>Total Cost Vs Current Price</t>
  </si>
  <si>
    <t>Unit Cost Vs Current Price</t>
  </si>
  <si>
    <t>Percent Vs Low Bid</t>
  </si>
  <si>
    <t>Total Cost Vs Low Bid</t>
  </si>
  <si>
    <t>Unit Cost Vs Low Bid</t>
  </si>
  <si>
    <t>Percent Vs Current</t>
  </si>
  <si>
    <t>#3 Lead Pencil</t>
  </si>
  <si>
    <t>M</t>
  </si>
  <si>
    <t>Auto calculated fields</t>
  </si>
</sst>
</file>

<file path=xl/styles.xml><?xml version="1.0" encoding="utf-8"?>
<styleSheet xmlns="http://schemas.openxmlformats.org/spreadsheetml/2006/main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</numFmts>
  <fonts count="8">
    <font>
      <sz val="10"/>
      <name val="Arial"/>
    </font>
    <font>
      <sz val="10"/>
      <name val="Arial"/>
    </font>
    <font>
      <b/>
      <sz val="24"/>
      <color indexed="9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9"/>
      <name val="Arial"/>
    </font>
    <font>
      <sz val="8"/>
      <name val="Arial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3">
    <xf numFmtId="0" fontId="0" fillId="0" borderId="0" xfId="0"/>
    <xf numFmtId="164" fontId="0" fillId="0" borderId="0" xfId="1" applyNumberFormat="1" applyFont="1"/>
    <xf numFmtId="164" fontId="0" fillId="0" borderId="0" xfId="1" applyNumberFormat="1" applyFont="1" applyBorder="1"/>
    <xf numFmtId="0" fontId="0" fillId="0" borderId="0" xfId="0" applyAlignment="1">
      <alignment horizontal="center"/>
    </xf>
    <xf numFmtId="44" fontId="0" fillId="0" borderId="0" xfId="2" applyFont="1"/>
    <xf numFmtId="164" fontId="0" fillId="0" borderId="0" xfId="1" applyNumberFormat="1" applyFont="1" applyProtection="1"/>
    <xf numFmtId="0" fontId="0" fillId="0" borderId="0" xfId="0" applyAlignment="1" applyProtection="1">
      <alignment horizontal="center"/>
    </xf>
    <xf numFmtId="44" fontId="4" fillId="0" borderId="0" xfId="2" applyFont="1" applyFill="1" applyBorder="1" applyAlignment="1">
      <alignment horizontal="centerContinuous"/>
    </xf>
    <xf numFmtId="164" fontId="4" fillId="2" borderId="0" xfId="1" applyNumberFormat="1" applyFont="1" applyFill="1" applyAlignment="1" applyProtection="1">
      <alignment vertical="center"/>
    </xf>
    <xf numFmtId="0" fontId="4" fillId="2" borderId="0" xfId="0" applyFont="1" applyFill="1" applyAlignment="1" applyProtection="1">
      <alignment vertical="center"/>
    </xf>
    <xf numFmtId="0" fontId="4" fillId="2" borderId="0" xfId="0" applyFont="1" applyFill="1" applyAlignment="1" applyProtection="1">
      <alignment horizontal="center" vertical="center"/>
    </xf>
    <xf numFmtId="0" fontId="0" fillId="0" borderId="0" xfId="0" applyProtection="1">
      <protection locked="0"/>
    </xf>
    <xf numFmtId="0" fontId="4" fillId="2" borderId="0" xfId="0" applyFont="1" applyFill="1" applyAlignment="1" applyProtection="1">
      <alignment horizontal="center" vertical="center" wrapText="1"/>
    </xf>
    <xf numFmtId="44" fontId="4" fillId="2" borderId="0" xfId="2" applyFont="1" applyFill="1" applyAlignment="1" applyProtection="1">
      <alignment horizontal="right" vertical="center" wrapText="1"/>
      <protection locked="0"/>
    </xf>
    <xf numFmtId="0" fontId="0" fillId="0" borderId="0" xfId="0" applyBorder="1"/>
    <xf numFmtId="44" fontId="4" fillId="2" borderId="0" xfId="2" applyFont="1" applyFill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wrapText="1"/>
      <protection locked="0"/>
    </xf>
    <xf numFmtId="164" fontId="5" fillId="0" borderId="1" xfId="1" applyNumberFormat="1" applyFont="1" applyBorder="1" applyProtection="1">
      <protection locked="0"/>
    </xf>
    <xf numFmtId="0" fontId="5" fillId="0" borderId="1" xfId="0" applyFont="1" applyBorder="1" applyAlignment="1" applyProtection="1">
      <alignment horizontal="center"/>
      <protection locked="0"/>
    </xf>
    <xf numFmtId="44" fontId="5" fillId="0" borderId="1" xfId="2" applyFont="1" applyBorder="1" applyProtection="1">
      <protection locked="0"/>
    </xf>
    <xf numFmtId="44" fontId="0" fillId="0" borderId="1" xfId="2" applyFont="1" applyFill="1" applyBorder="1" applyProtection="1">
      <protection locked="0"/>
    </xf>
    <xf numFmtId="44" fontId="1" fillId="0" borderId="1" xfId="2" applyFont="1" applyBorder="1" applyAlignment="1" applyProtection="1">
      <alignment horizontal="center"/>
      <protection locked="0"/>
    </xf>
    <xf numFmtId="164" fontId="3" fillId="3" borderId="1" xfId="1" applyNumberFormat="1" applyFont="1" applyFill="1" applyBorder="1" applyAlignment="1" applyProtection="1">
      <alignment horizontal="left" vertical="center"/>
    </xf>
    <xf numFmtId="164" fontId="0" fillId="3" borderId="1" xfId="1" applyNumberFormat="1" applyFont="1" applyFill="1" applyBorder="1"/>
    <xf numFmtId="165" fontId="0" fillId="3" borderId="1" xfId="2" applyNumberFormat="1" applyFont="1" applyFill="1" applyBorder="1"/>
    <xf numFmtId="166" fontId="0" fillId="3" borderId="1" xfId="3" applyNumberFormat="1" applyFont="1" applyFill="1" applyBorder="1"/>
    <xf numFmtId="164" fontId="0" fillId="3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165" fontId="0" fillId="3" borderId="1" xfId="0" applyNumberFormat="1" applyFill="1" applyBorder="1"/>
    <xf numFmtId="44" fontId="0" fillId="3" borderId="1" xfId="0" applyNumberFormat="1" applyFill="1" applyBorder="1"/>
    <xf numFmtId="44" fontId="0" fillId="3" borderId="1" xfId="2" applyFont="1" applyFill="1" applyBorder="1"/>
    <xf numFmtId="0" fontId="0" fillId="4" borderId="0" xfId="0" applyFill="1"/>
    <xf numFmtId="164" fontId="0" fillId="3" borderId="1" xfId="1" applyNumberFormat="1" applyFont="1" applyFill="1" applyBorder="1" applyAlignment="1">
      <alignment horizontal="right"/>
    </xf>
    <xf numFmtId="44" fontId="4" fillId="3" borderId="0" xfId="2" applyFont="1" applyFill="1" applyBorder="1" applyAlignment="1">
      <alignment horizontal="centerContinuous"/>
    </xf>
    <xf numFmtId="44" fontId="7" fillId="3" borderId="0" xfId="2" applyFont="1" applyFill="1" applyBorder="1" applyAlignment="1">
      <alignment horizontal="left"/>
    </xf>
    <xf numFmtId="164" fontId="0" fillId="0" borderId="1" xfId="1" applyNumberFormat="1" applyFont="1" applyBorder="1" applyProtection="1">
      <protection locked="0"/>
    </xf>
    <xf numFmtId="44" fontId="0" fillId="0" borderId="1" xfId="2" applyFont="1" applyBorder="1" applyProtection="1">
      <protection locked="0"/>
    </xf>
    <xf numFmtId="44" fontId="0" fillId="0" borderId="1" xfId="2" applyNumberFormat="1" applyFont="1" applyBorder="1" applyProtection="1">
      <protection locked="0"/>
    </xf>
    <xf numFmtId="164" fontId="3" fillId="0" borderId="0" xfId="1" applyNumberFormat="1" applyFont="1" applyAlignment="1" applyProtection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7" fillId="0" borderId="0" xfId="1" applyNumberFormat="1" applyFont="1" applyFill="1" applyAlignment="1" applyProtection="1">
      <alignment horizontal="right" vertic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11"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114"/>
  <sheetViews>
    <sheetView showGridLines="0" tabSelected="1" workbookViewId="0">
      <selection activeCell="G62" sqref="G62"/>
    </sheetView>
  </sheetViews>
  <sheetFormatPr defaultRowHeight="12.75"/>
  <cols>
    <col min="1" max="1" width="1.140625" customWidth="1"/>
    <col min="2" max="2" width="6.140625" bestFit="1" customWidth="1"/>
    <col min="3" max="3" width="20.140625" customWidth="1"/>
    <col min="4" max="4" width="10.140625" customWidth="1"/>
    <col min="6" max="7" width="11.28515625" bestFit="1" customWidth="1"/>
    <col min="8" max="10" width="12.7109375" customWidth="1"/>
    <col min="11" max="11" width="11.42578125" customWidth="1"/>
    <col min="12" max="12" width="12.42578125" customWidth="1"/>
  </cols>
  <sheetData>
    <row r="1" spans="1:12" ht="30">
      <c r="A1" s="40" t="s">
        <v>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</row>
    <row r="2" spans="1:12" ht="23.25" customHeight="1">
      <c r="B2" s="1"/>
      <c r="D2" s="2"/>
      <c r="E2" s="3"/>
      <c r="F2" s="3"/>
      <c r="G2" s="3"/>
      <c r="H2" s="4"/>
      <c r="I2" s="4"/>
      <c r="J2" s="4"/>
    </row>
    <row r="3" spans="1:12">
      <c r="B3" s="39" t="s">
        <v>14</v>
      </c>
      <c r="C3" s="39"/>
      <c r="D3" s="2"/>
      <c r="E3" s="3"/>
      <c r="F3" s="3"/>
      <c r="G3" s="3"/>
      <c r="H3" s="4"/>
      <c r="I3" s="4"/>
      <c r="J3" s="4"/>
    </row>
    <row r="4" spans="1:12" ht="25.5">
      <c r="B4" s="8" t="s">
        <v>15</v>
      </c>
      <c r="C4" s="9" t="s">
        <v>3</v>
      </c>
      <c r="D4" s="8" t="s">
        <v>4</v>
      </c>
      <c r="E4" s="10"/>
      <c r="F4" s="12" t="s">
        <v>8</v>
      </c>
      <c r="G4" s="12" t="s">
        <v>12</v>
      </c>
      <c r="H4" s="15" t="s">
        <v>6</v>
      </c>
      <c r="I4" s="15" t="s">
        <v>7</v>
      </c>
      <c r="J4" s="15" t="s">
        <v>9</v>
      </c>
      <c r="K4" s="15" t="s">
        <v>10</v>
      </c>
      <c r="L4" s="15" t="s">
        <v>11</v>
      </c>
    </row>
    <row r="5" spans="1:12" ht="21" customHeight="1">
      <c r="B5" s="22"/>
      <c r="C5" s="22" t="s">
        <v>16</v>
      </c>
      <c r="D5" s="23">
        <f>SUM(D23:D32)</f>
        <v>10000</v>
      </c>
      <c r="E5" s="23"/>
      <c r="F5" s="24">
        <f t="shared" ref="F5:L5" si="0">SUM(F23:F32)</f>
        <v>415500</v>
      </c>
      <c r="G5" s="24">
        <f t="shared" si="0"/>
        <v>385000</v>
      </c>
      <c r="H5" s="24">
        <f t="shared" si="0"/>
        <v>387500</v>
      </c>
      <c r="I5" s="24">
        <f t="shared" si="0"/>
        <v>385000</v>
      </c>
      <c r="J5" s="24">
        <f t="shared" si="0"/>
        <v>421000</v>
      </c>
      <c r="K5" s="24">
        <f t="shared" si="0"/>
        <v>419799.99999999994</v>
      </c>
      <c r="L5" s="24">
        <f t="shared" si="0"/>
        <v>399000</v>
      </c>
    </row>
    <row r="6" spans="1:12" ht="18" customHeight="1">
      <c r="B6" s="22"/>
      <c r="C6" s="22" t="s">
        <v>23</v>
      </c>
      <c r="D6" s="23"/>
      <c r="E6" s="23"/>
      <c r="F6" s="24"/>
      <c r="G6" s="25">
        <f t="shared" ref="G6:L6" si="1">+(G5/$F$5)-1</f>
        <v>-7.3405535499398322E-2</v>
      </c>
      <c r="H6" s="25">
        <f t="shared" si="1"/>
        <v>-6.7388688327316482E-2</v>
      </c>
      <c r="I6" s="25">
        <f t="shared" si="1"/>
        <v>-7.3405535499398322E-2</v>
      </c>
      <c r="J6" s="25">
        <f t="shared" si="1"/>
        <v>1.3237063778579916E-2</v>
      </c>
      <c r="K6" s="25">
        <f t="shared" si="1"/>
        <v>1.0348977135980597E-2</v>
      </c>
      <c r="L6" s="25">
        <f t="shared" si="1"/>
        <v>-3.9711191335740081E-2</v>
      </c>
    </row>
    <row r="7" spans="1:12" ht="24" customHeight="1">
      <c r="B7" s="1"/>
      <c r="D7" s="2"/>
      <c r="E7" s="3"/>
      <c r="F7" s="3"/>
      <c r="G7" s="3"/>
      <c r="H7" s="4"/>
      <c r="I7" s="4"/>
      <c r="J7" s="4"/>
    </row>
    <row r="8" spans="1:12">
      <c r="B8" s="39" t="s">
        <v>1</v>
      </c>
      <c r="C8" s="39"/>
      <c r="D8" s="5"/>
      <c r="E8" s="6"/>
      <c r="F8" s="6"/>
      <c r="G8" s="6"/>
      <c r="H8" s="42"/>
      <c r="I8" s="42"/>
      <c r="J8" s="35" t="s">
        <v>26</v>
      </c>
      <c r="K8" s="34"/>
      <c r="L8" s="32" t="s">
        <v>12</v>
      </c>
    </row>
    <row r="9" spans="1:12" ht="25.5">
      <c r="B9" s="8" t="s">
        <v>2</v>
      </c>
      <c r="C9" s="9" t="s">
        <v>3</v>
      </c>
      <c r="D9" s="8" t="s">
        <v>4</v>
      </c>
      <c r="E9" s="10" t="s">
        <v>5</v>
      </c>
      <c r="F9" s="12" t="s">
        <v>8</v>
      </c>
      <c r="G9" s="12" t="s">
        <v>12</v>
      </c>
      <c r="H9" s="13" t="s">
        <v>6</v>
      </c>
      <c r="I9" s="13" t="s">
        <v>7</v>
      </c>
      <c r="J9" s="13" t="s">
        <v>9</v>
      </c>
      <c r="K9" s="13" t="s">
        <v>10</v>
      </c>
      <c r="L9" s="13" t="s">
        <v>11</v>
      </c>
    </row>
    <row r="10" spans="1:12">
      <c r="A10" s="11"/>
      <c r="B10" s="33">
        <f>COUNTA(C$9:C9)</f>
        <v>1</v>
      </c>
      <c r="C10" s="16" t="s">
        <v>24</v>
      </c>
      <c r="D10" s="17">
        <v>10000</v>
      </c>
      <c r="E10" s="18" t="s">
        <v>25</v>
      </c>
      <c r="F10" s="21">
        <v>41.55</v>
      </c>
      <c r="G10" s="31">
        <f>IF(LEN(H10)&gt;0,MIN(H10:L10),"")</f>
        <v>38.5</v>
      </c>
      <c r="H10" s="19">
        <v>38.75</v>
      </c>
      <c r="I10" s="19">
        <v>38.5</v>
      </c>
      <c r="J10" s="19">
        <v>42.1</v>
      </c>
      <c r="K10" s="19">
        <v>41.98</v>
      </c>
      <c r="L10" s="20">
        <v>39.9</v>
      </c>
    </row>
    <row r="11" spans="1:12">
      <c r="B11" s="33" t="str">
        <f>IF(LEN(C11)&gt;0,COUNTA(C$9:C10),"")</f>
        <v/>
      </c>
      <c r="C11" s="16"/>
      <c r="D11" s="36"/>
      <c r="E11" s="18"/>
      <c r="F11" s="37"/>
      <c r="G11" s="31" t="str">
        <f t="shared" ref="G11:G19" si="2">IF(LEN(H11)&gt;0,MIN(H11:L11),"")</f>
        <v/>
      </c>
      <c r="H11" s="38"/>
      <c r="I11" s="38"/>
      <c r="J11" s="38"/>
      <c r="K11" s="38"/>
      <c r="L11" s="38"/>
    </row>
    <row r="12" spans="1:12">
      <c r="B12" s="33" t="str">
        <f>IF(LEN(C12)&gt;0,COUNTA(C$9:C11),"")</f>
        <v/>
      </c>
      <c r="C12" s="16"/>
      <c r="D12" s="36"/>
      <c r="E12" s="18"/>
      <c r="F12" s="37"/>
      <c r="G12" s="31" t="str">
        <f t="shared" si="2"/>
        <v/>
      </c>
      <c r="H12" s="37"/>
      <c r="I12" s="37"/>
      <c r="J12" s="37"/>
      <c r="K12" s="37"/>
      <c r="L12" s="37"/>
    </row>
    <row r="13" spans="1:12">
      <c r="B13" s="33" t="str">
        <f>IF(LEN(C13)&gt;0,COUNTA(C$9:C12),"")</f>
        <v/>
      </c>
      <c r="C13" s="16"/>
      <c r="D13" s="36"/>
      <c r="E13" s="18"/>
      <c r="F13" s="37"/>
      <c r="G13" s="31" t="str">
        <f t="shared" si="2"/>
        <v/>
      </c>
      <c r="H13" s="37"/>
      <c r="I13" s="37"/>
      <c r="J13" s="37"/>
      <c r="K13" s="37"/>
      <c r="L13" s="37"/>
    </row>
    <row r="14" spans="1:12">
      <c r="B14" s="33" t="str">
        <f>IF(LEN(C14)&gt;0,COUNTA(C$9:C13),"")</f>
        <v/>
      </c>
      <c r="C14" s="16"/>
      <c r="D14" s="36"/>
      <c r="E14" s="18"/>
      <c r="F14" s="37"/>
      <c r="G14" s="31" t="str">
        <f t="shared" si="2"/>
        <v/>
      </c>
      <c r="H14" s="37"/>
      <c r="I14" s="37"/>
      <c r="J14" s="37"/>
      <c r="K14" s="37"/>
      <c r="L14" s="37"/>
    </row>
    <row r="15" spans="1:12">
      <c r="B15" s="33" t="str">
        <f>IF(LEN(C15)&gt;0,COUNTA(C$9:C14),"")</f>
        <v/>
      </c>
      <c r="C15" s="16"/>
      <c r="D15" s="36"/>
      <c r="E15" s="18"/>
      <c r="F15" s="37"/>
      <c r="G15" s="31" t="str">
        <f t="shared" si="2"/>
        <v/>
      </c>
      <c r="H15" s="37"/>
      <c r="I15" s="37"/>
      <c r="J15" s="37"/>
      <c r="K15" s="37"/>
      <c r="L15" s="37"/>
    </row>
    <row r="16" spans="1:12">
      <c r="B16" s="33" t="str">
        <f>IF(LEN(C16)&gt;0,COUNTA(C$9:C15),"")</f>
        <v/>
      </c>
      <c r="C16" s="16"/>
      <c r="D16" s="36"/>
      <c r="E16" s="18"/>
      <c r="F16" s="37"/>
      <c r="G16" s="31" t="str">
        <f t="shared" si="2"/>
        <v/>
      </c>
      <c r="H16" s="37"/>
      <c r="I16" s="37"/>
      <c r="J16" s="37"/>
      <c r="K16" s="37"/>
      <c r="L16" s="37"/>
    </row>
    <row r="17" spans="2:12">
      <c r="B17" s="33" t="str">
        <f>IF(LEN(C17)&gt;0,COUNTA(C$9:C16),"")</f>
        <v/>
      </c>
      <c r="C17" s="16"/>
      <c r="D17" s="36"/>
      <c r="E17" s="18"/>
      <c r="F17" s="37"/>
      <c r="G17" s="31" t="str">
        <f t="shared" si="2"/>
        <v/>
      </c>
      <c r="H17" s="37"/>
      <c r="I17" s="37"/>
      <c r="J17" s="37"/>
      <c r="K17" s="37"/>
      <c r="L17" s="37"/>
    </row>
    <row r="18" spans="2:12">
      <c r="B18" s="33" t="str">
        <f>IF(LEN(C18)&gt;0,COUNTA(C$9:C17),"")</f>
        <v/>
      </c>
      <c r="C18" s="16"/>
      <c r="D18" s="36"/>
      <c r="E18" s="18"/>
      <c r="F18" s="37"/>
      <c r="G18" s="31" t="str">
        <f t="shared" si="2"/>
        <v/>
      </c>
      <c r="H18" s="37"/>
      <c r="I18" s="37"/>
      <c r="J18" s="37"/>
      <c r="K18" s="37"/>
      <c r="L18" s="37"/>
    </row>
    <row r="19" spans="2:12">
      <c r="B19" s="33" t="str">
        <f>IF(LEN(C19)&gt;0,COUNTA(C$9:C18),"")</f>
        <v/>
      </c>
      <c r="C19" s="16"/>
      <c r="D19" s="36"/>
      <c r="E19" s="18"/>
      <c r="F19" s="37"/>
      <c r="G19" s="31" t="str">
        <f t="shared" si="2"/>
        <v/>
      </c>
      <c r="H19" s="37"/>
      <c r="I19" s="37"/>
      <c r="J19" s="37"/>
      <c r="K19" s="37"/>
      <c r="L19" s="37"/>
    </row>
    <row r="21" spans="2:12">
      <c r="B21" s="39" t="s">
        <v>13</v>
      </c>
      <c r="C21" s="39"/>
      <c r="D21" s="5"/>
      <c r="E21" s="6"/>
      <c r="F21" s="6"/>
      <c r="G21" s="6"/>
      <c r="H21" s="39"/>
      <c r="I21" s="39"/>
      <c r="J21" s="7"/>
      <c r="K21" s="7"/>
    </row>
    <row r="22" spans="2:12" ht="25.5">
      <c r="B22" s="8" t="s">
        <v>2</v>
      </c>
      <c r="C22" s="9" t="s">
        <v>3</v>
      </c>
      <c r="D22" s="8" t="s">
        <v>4</v>
      </c>
      <c r="E22" s="10" t="s">
        <v>5</v>
      </c>
      <c r="F22" s="12" t="s">
        <v>8</v>
      </c>
      <c r="G22" s="12" t="s">
        <v>12</v>
      </c>
      <c r="H22" s="13" t="s">
        <v>6</v>
      </c>
      <c r="I22" s="13" t="s">
        <v>7</v>
      </c>
      <c r="J22" s="13" t="s">
        <v>9</v>
      </c>
      <c r="K22" s="13" t="s">
        <v>10</v>
      </c>
      <c r="L22" s="13" t="s">
        <v>11</v>
      </c>
    </row>
    <row r="23" spans="2:12">
      <c r="B23" s="26">
        <f>IF(LEN(B10)&gt;0,B10,"")</f>
        <v>1</v>
      </c>
      <c r="C23" s="27" t="str">
        <f>IF(LEN(C10)&gt;0,C10,"")</f>
        <v>#3 Lead Pencil</v>
      </c>
      <c r="D23" s="23">
        <f>IF(LEN(D10)&gt;0,D10,"")</f>
        <v>10000</v>
      </c>
      <c r="E23" s="28" t="str">
        <f>IF(LEN(E10)&gt;0,E10,"")</f>
        <v>M</v>
      </c>
      <c r="F23" s="24">
        <f t="shared" ref="F23:L30" si="3">IF(LEN(F10)&gt;0,F10*$D$10,"")</f>
        <v>415500</v>
      </c>
      <c r="G23" s="24">
        <f t="shared" si="3"/>
        <v>385000</v>
      </c>
      <c r="H23" s="24">
        <f t="shared" si="3"/>
        <v>387500</v>
      </c>
      <c r="I23" s="24">
        <f t="shared" si="3"/>
        <v>385000</v>
      </c>
      <c r="J23" s="24">
        <f t="shared" si="3"/>
        <v>421000</v>
      </c>
      <c r="K23" s="24">
        <f t="shared" si="3"/>
        <v>419799.99999999994</v>
      </c>
      <c r="L23" s="24">
        <f t="shared" si="3"/>
        <v>399000</v>
      </c>
    </row>
    <row r="24" spans="2:12">
      <c r="B24" s="26" t="str">
        <f t="shared" ref="B24:B32" si="4">IF(LEN(B11)&gt;0,B11,"")</f>
        <v/>
      </c>
      <c r="C24" s="27" t="str">
        <f t="shared" ref="C24:C32" si="5">IF(LEN(C11)&gt;0,C11,"")</f>
        <v/>
      </c>
      <c r="D24" s="23" t="str">
        <f t="shared" ref="D24:E32" si="6">IF(LEN(D11)&gt;0,D11,"")</f>
        <v/>
      </c>
      <c r="E24" s="28" t="str">
        <f t="shared" si="6"/>
        <v/>
      </c>
      <c r="F24" s="24" t="str">
        <f t="shared" si="3"/>
        <v/>
      </c>
      <c r="G24" s="24" t="str">
        <f t="shared" si="3"/>
        <v/>
      </c>
      <c r="H24" s="24" t="str">
        <f t="shared" si="3"/>
        <v/>
      </c>
      <c r="I24" s="24" t="str">
        <f t="shared" si="3"/>
        <v/>
      </c>
      <c r="J24" s="24" t="str">
        <f t="shared" si="3"/>
        <v/>
      </c>
      <c r="K24" s="24" t="str">
        <f t="shared" si="3"/>
        <v/>
      </c>
      <c r="L24" s="24" t="str">
        <f t="shared" si="3"/>
        <v/>
      </c>
    </row>
    <row r="25" spans="2:12">
      <c r="B25" s="26" t="str">
        <f t="shared" si="4"/>
        <v/>
      </c>
      <c r="C25" s="27" t="str">
        <f t="shared" si="5"/>
        <v/>
      </c>
      <c r="D25" s="23" t="str">
        <f t="shared" si="6"/>
        <v/>
      </c>
      <c r="E25" s="28" t="str">
        <f t="shared" si="6"/>
        <v/>
      </c>
      <c r="F25" s="24" t="str">
        <f t="shared" si="3"/>
        <v/>
      </c>
      <c r="G25" s="24" t="str">
        <f t="shared" si="3"/>
        <v/>
      </c>
      <c r="H25" s="24" t="str">
        <f t="shared" si="3"/>
        <v/>
      </c>
      <c r="I25" s="24" t="str">
        <f t="shared" si="3"/>
        <v/>
      </c>
      <c r="J25" s="24" t="str">
        <f t="shared" si="3"/>
        <v/>
      </c>
      <c r="K25" s="24" t="str">
        <f t="shared" si="3"/>
        <v/>
      </c>
      <c r="L25" s="24" t="str">
        <f t="shared" si="3"/>
        <v/>
      </c>
    </row>
    <row r="26" spans="2:12">
      <c r="B26" s="26" t="str">
        <f t="shared" si="4"/>
        <v/>
      </c>
      <c r="C26" s="27" t="str">
        <f t="shared" si="5"/>
        <v/>
      </c>
      <c r="D26" s="23" t="str">
        <f t="shared" si="6"/>
        <v/>
      </c>
      <c r="E26" s="28" t="str">
        <f t="shared" si="6"/>
        <v/>
      </c>
      <c r="F26" s="24" t="str">
        <f t="shared" si="3"/>
        <v/>
      </c>
      <c r="G26" s="24" t="str">
        <f t="shared" si="3"/>
        <v/>
      </c>
      <c r="H26" s="24" t="str">
        <f t="shared" si="3"/>
        <v/>
      </c>
      <c r="I26" s="24" t="str">
        <f t="shared" si="3"/>
        <v/>
      </c>
      <c r="J26" s="24" t="str">
        <f t="shared" si="3"/>
        <v/>
      </c>
      <c r="K26" s="24" t="str">
        <f t="shared" si="3"/>
        <v/>
      </c>
      <c r="L26" s="24" t="str">
        <f t="shared" si="3"/>
        <v/>
      </c>
    </row>
    <row r="27" spans="2:12">
      <c r="B27" s="26" t="str">
        <f t="shared" si="4"/>
        <v/>
      </c>
      <c r="C27" s="27" t="str">
        <f t="shared" si="5"/>
        <v/>
      </c>
      <c r="D27" s="23" t="str">
        <f t="shared" si="6"/>
        <v/>
      </c>
      <c r="E27" s="28" t="str">
        <f t="shared" si="6"/>
        <v/>
      </c>
      <c r="F27" s="24" t="str">
        <f t="shared" si="3"/>
        <v/>
      </c>
      <c r="G27" s="24" t="str">
        <f t="shared" si="3"/>
        <v/>
      </c>
      <c r="H27" s="24" t="str">
        <f t="shared" si="3"/>
        <v/>
      </c>
      <c r="I27" s="24" t="str">
        <f t="shared" si="3"/>
        <v/>
      </c>
      <c r="J27" s="24" t="str">
        <f t="shared" si="3"/>
        <v/>
      </c>
      <c r="K27" s="24" t="str">
        <f t="shared" si="3"/>
        <v/>
      </c>
      <c r="L27" s="24" t="str">
        <f t="shared" si="3"/>
        <v/>
      </c>
    </row>
    <row r="28" spans="2:12">
      <c r="B28" s="26" t="str">
        <f t="shared" si="4"/>
        <v/>
      </c>
      <c r="C28" s="27" t="str">
        <f t="shared" si="5"/>
        <v/>
      </c>
      <c r="D28" s="23" t="str">
        <f t="shared" si="6"/>
        <v/>
      </c>
      <c r="E28" s="28" t="str">
        <f t="shared" si="6"/>
        <v/>
      </c>
      <c r="F28" s="24" t="str">
        <f t="shared" si="3"/>
        <v/>
      </c>
      <c r="G28" s="24" t="str">
        <f t="shared" si="3"/>
        <v/>
      </c>
      <c r="H28" s="24" t="str">
        <f t="shared" si="3"/>
        <v/>
      </c>
      <c r="I28" s="24" t="str">
        <f t="shared" si="3"/>
        <v/>
      </c>
      <c r="J28" s="24" t="str">
        <f t="shared" si="3"/>
        <v/>
      </c>
      <c r="K28" s="24" t="str">
        <f t="shared" si="3"/>
        <v/>
      </c>
      <c r="L28" s="24" t="str">
        <f t="shared" si="3"/>
        <v/>
      </c>
    </row>
    <row r="29" spans="2:12">
      <c r="B29" s="26" t="str">
        <f t="shared" si="4"/>
        <v/>
      </c>
      <c r="C29" s="27" t="str">
        <f t="shared" si="5"/>
        <v/>
      </c>
      <c r="D29" s="23" t="str">
        <f t="shared" si="6"/>
        <v/>
      </c>
      <c r="E29" s="28" t="str">
        <f t="shared" si="6"/>
        <v/>
      </c>
      <c r="F29" s="24" t="str">
        <f t="shared" si="3"/>
        <v/>
      </c>
      <c r="G29" s="24" t="str">
        <f t="shared" si="3"/>
        <v/>
      </c>
      <c r="H29" s="24" t="str">
        <f t="shared" si="3"/>
        <v/>
      </c>
      <c r="I29" s="24" t="str">
        <f t="shared" si="3"/>
        <v/>
      </c>
      <c r="J29" s="24" t="str">
        <f t="shared" si="3"/>
        <v/>
      </c>
      <c r="K29" s="24" t="str">
        <f t="shared" si="3"/>
        <v/>
      </c>
      <c r="L29" s="24" t="str">
        <f t="shared" si="3"/>
        <v/>
      </c>
    </row>
    <row r="30" spans="2:12">
      <c r="B30" s="26" t="str">
        <f t="shared" si="4"/>
        <v/>
      </c>
      <c r="C30" s="27" t="str">
        <f t="shared" si="5"/>
        <v/>
      </c>
      <c r="D30" s="23" t="str">
        <f t="shared" si="6"/>
        <v/>
      </c>
      <c r="E30" s="28" t="str">
        <f t="shared" si="6"/>
        <v/>
      </c>
      <c r="F30" s="24" t="str">
        <f t="shared" si="3"/>
        <v/>
      </c>
      <c r="G30" s="24" t="str">
        <f t="shared" si="3"/>
        <v/>
      </c>
      <c r="H30" s="24" t="str">
        <f t="shared" si="3"/>
        <v/>
      </c>
      <c r="I30" s="24" t="str">
        <f t="shared" si="3"/>
        <v/>
      </c>
      <c r="J30" s="24" t="str">
        <f t="shared" si="3"/>
        <v/>
      </c>
      <c r="K30" s="24" t="str">
        <f t="shared" si="3"/>
        <v/>
      </c>
      <c r="L30" s="24" t="str">
        <f t="shared" si="3"/>
        <v/>
      </c>
    </row>
    <row r="31" spans="2:12">
      <c r="B31" s="26" t="str">
        <f t="shared" si="4"/>
        <v/>
      </c>
      <c r="C31" s="27" t="str">
        <f t="shared" si="5"/>
        <v/>
      </c>
      <c r="D31" s="23" t="str">
        <f t="shared" si="6"/>
        <v/>
      </c>
      <c r="E31" s="28" t="str">
        <f t="shared" si="6"/>
        <v/>
      </c>
      <c r="F31" s="24" t="str">
        <f t="shared" ref="F31:L31" si="7">IF(LEN(F18)&gt;0,F18*$D$10,"")</f>
        <v/>
      </c>
      <c r="G31" s="24" t="str">
        <f t="shared" si="7"/>
        <v/>
      </c>
      <c r="H31" s="24" t="str">
        <f t="shared" si="7"/>
        <v/>
      </c>
      <c r="I31" s="24" t="str">
        <f t="shared" si="7"/>
        <v/>
      </c>
      <c r="J31" s="24" t="str">
        <f t="shared" si="7"/>
        <v/>
      </c>
      <c r="K31" s="24" t="str">
        <f t="shared" si="7"/>
        <v/>
      </c>
      <c r="L31" s="24" t="str">
        <f t="shared" si="7"/>
        <v/>
      </c>
    </row>
    <row r="32" spans="2:12">
      <c r="B32" s="26" t="str">
        <f t="shared" si="4"/>
        <v/>
      </c>
      <c r="C32" s="27" t="str">
        <f t="shared" si="5"/>
        <v/>
      </c>
      <c r="D32" s="23" t="str">
        <f t="shared" si="6"/>
        <v/>
      </c>
      <c r="E32" s="28" t="str">
        <f t="shared" si="6"/>
        <v/>
      </c>
      <c r="F32" s="24" t="str">
        <f t="shared" ref="F32:L32" si="8">IF(LEN(F19)&gt;0,F19*$D$10,"")</f>
        <v/>
      </c>
      <c r="G32" s="24" t="str">
        <f t="shared" si="8"/>
        <v/>
      </c>
      <c r="H32" s="24" t="str">
        <f t="shared" si="8"/>
        <v/>
      </c>
      <c r="I32" s="24" t="str">
        <f t="shared" si="8"/>
        <v/>
      </c>
      <c r="J32" s="24" t="str">
        <f t="shared" si="8"/>
        <v/>
      </c>
      <c r="K32" s="24" t="str">
        <f t="shared" si="8"/>
        <v/>
      </c>
      <c r="L32" s="24" t="str">
        <f t="shared" si="8"/>
        <v/>
      </c>
    </row>
    <row r="34" spans="2:12">
      <c r="B34" s="39" t="s">
        <v>17</v>
      </c>
      <c r="C34" s="39"/>
      <c r="D34" s="5"/>
      <c r="E34" s="6"/>
      <c r="F34" s="6"/>
      <c r="G34" s="6"/>
      <c r="H34" s="39"/>
      <c r="I34" s="39"/>
      <c r="J34" s="7"/>
      <c r="K34" s="7"/>
    </row>
    <row r="35" spans="2:12" ht="25.5">
      <c r="B35" s="8" t="s">
        <v>2</v>
      </c>
      <c r="C35" s="9" t="s">
        <v>3</v>
      </c>
      <c r="D35" s="8" t="s">
        <v>4</v>
      </c>
      <c r="E35" s="10" t="s">
        <v>5</v>
      </c>
      <c r="F35" s="12" t="s">
        <v>8</v>
      </c>
      <c r="G35" s="12" t="s">
        <v>12</v>
      </c>
      <c r="H35" s="13" t="s">
        <v>6</v>
      </c>
      <c r="I35" s="13" t="s">
        <v>7</v>
      </c>
      <c r="J35" s="13" t="s">
        <v>9</v>
      </c>
      <c r="K35" s="13" t="s">
        <v>10</v>
      </c>
      <c r="L35" s="13" t="s">
        <v>11</v>
      </c>
    </row>
    <row r="36" spans="2:12">
      <c r="B36" s="26">
        <f t="shared" ref="B36:E45" si="9">IF(LEN(B10)&gt;0,B10,"")</f>
        <v>1</v>
      </c>
      <c r="C36" s="27" t="str">
        <f t="shared" si="9"/>
        <v>#3 Lead Pencil</v>
      </c>
      <c r="D36" s="23">
        <f t="shared" si="9"/>
        <v>10000</v>
      </c>
      <c r="E36" s="28" t="str">
        <f t="shared" si="9"/>
        <v>M</v>
      </c>
      <c r="F36" s="27"/>
      <c r="G36" s="25">
        <f t="shared" ref="G36:L43" si="10">IF(LEN(G10)&gt;0,(G10/$F$10)-1,"")</f>
        <v>-7.3405535499398211E-2</v>
      </c>
      <c r="H36" s="25">
        <f t="shared" si="10"/>
        <v>-6.7388688327316371E-2</v>
      </c>
      <c r="I36" s="25">
        <f t="shared" si="10"/>
        <v>-7.3405535499398211E-2</v>
      </c>
      <c r="J36" s="25">
        <f t="shared" si="10"/>
        <v>1.3237063778580138E-2</v>
      </c>
      <c r="K36" s="25">
        <f t="shared" si="10"/>
        <v>1.0348977135980819E-2</v>
      </c>
      <c r="L36" s="25">
        <f t="shared" si="10"/>
        <v>-3.9711191335740081E-2</v>
      </c>
    </row>
    <row r="37" spans="2:12">
      <c r="B37" s="26" t="str">
        <f t="shared" si="9"/>
        <v/>
      </c>
      <c r="C37" s="27" t="str">
        <f t="shared" si="9"/>
        <v/>
      </c>
      <c r="D37" s="23" t="str">
        <f t="shared" si="9"/>
        <v/>
      </c>
      <c r="E37" s="28" t="str">
        <f t="shared" si="9"/>
        <v/>
      </c>
      <c r="F37" s="27"/>
      <c r="G37" s="25" t="str">
        <f t="shared" si="10"/>
        <v/>
      </c>
      <c r="H37" s="25" t="str">
        <f t="shared" si="10"/>
        <v/>
      </c>
      <c r="I37" s="25" t="str">
        <f t="shared" si="10"/>
        <v/>
      </c>
      <c r="J37" s="25" t="str">
        <f t="shared" si="10"/>
        <v/>
      </c>
      <c r="K37" s="25" t="str">
        <f t="shared" si="10"/>
        <v/>
      </c>
      <c r="L37" s="25" t="str">
        <f t="shared" si="10"/>
        <v/>
      </c>
    </row>
    <row r="38" spans="2:12">
      <c r="B38" s="26" t="str">
        <f t="shared" si="9"/>
        <v/>
      </c>
      <c r="C38" s="27" t="str">
        <f t="shared" si="9"/>
        <v/>
      </c>
      <c r="D38" s="23" t="str">
        <f t="shared" si="9"/>
        <v/>
      </c>
      <c r="E38" s="28" t="str">
        <f t="shared" si="9"/>
        <v/>
      </c>
      <c r="F38" s="27"/>
      <c r="G38" s="25" t="str">
        <f t="shared" si="10"/>
        <v/>
      </c>
      <c r="H38" s="25" t="str">
        <f t="shared" si="10"/>
        <v/>
      </c>
      <c r="I38" s="25" t="str">
        <f t="shared" si="10"/>
        <v/>
      </c>
      <c r="J38" s="25" t="str">
        <f t="shared" si="10"/>
        <v/>
      </c>
      <c r="K38" s="25" t="str">
        <f t="shared" si="10"/>
        <v/>
      </c>
      <c r="L38" s="25" t="str">
        <f t="shared" si="10"/>
        <v/>
      </c>
    </row>
    <row r="39" spans="2:12">
      <c r="B39" s="26" t="str">
        <f t="shared" si="9"/>
        <v/>
      </c>
      <c r="C39" s="27" t="str">
        <f t="shared" si="9"/>
        <v/>
      </c>
      <c r="D39" s="23" t="str">
        <f t="shared" si="9"/>
        <v/>
      </c>
      <c r="E39" s="28" t="str">
        <f t="shared" si="9"/>
        <v/>
      </c>
      <c r="F39" s="27"/>
      <c r="G39" s="25" t="str">
        <f t="shared" si="10"/>
        <v/>
      </c>
      <c r="H39" s="25" t="str">
        <f t="shared" si="10"/>
        <v/>
      </c>
      <c r="I39" s="25" t="str">
        <f t="shared" si="10"/>
        <v/>
      </c>
      <c r="J39" s="25" t="str">
        <f t="shared" si="10"/>
        <v/>
      </c>
      <c r="K39" s="25" t="str">
        <f t="shared" si="10"/>
        <v/>
      </c>
      <c r="L39" s="25" t="str">
        <f t="shared" si="10"/>
        <v/>
      </c>
    </row>
    <row r="40" spans="2:12">
      <c r="B40" s="26" t="str">
        <f t="shared" si="9"/>
        <v/>
      </c>
      <c r="C40" s="27" t="str">
        <f t="shared" si="9"/>
        <v/>
      </c>
      <c r="D40" s="23" t="str">
        <f t="shared" si="9"/>
        <v/>
      </c>
      <c r="E40" s="28" t="str">
        <f t="shared" si="9"/>
        <v/>
      </c>
      <c r="F40" s="27"/>
      <c r="G40" s="25" t="str">
        <f t="shared" si="10"/>
        <v/>
      </c>
      <c r="H40" s="25" t="str">
        <f t="shared" si="10"/>
        <v/>
      </c>
      <c r="I40" s="25" t="str">
        <f t="shared" si="10"/>
        <v/>
      </c>
      <c r="J40" s="25" t="str">
        <f t="shared" si="10"/>
        <v/>
      </c>
      <c r="K40" s="25" t="str">
        <f t="shared" si="10"/>
        <v/>
      </c>
      <c r="L40" s="25" t="str">
        <f t="shared" si="10"/>
        <v/>
      </c>
    </row>
    <row r="41" spans="2:12">
      <c r="B41" s="26" t="str">
        <f t="shared" si="9"/>
        <v/>
      </c>
      <c r="C41" s="27" t="str">
        <f t="shared" si="9"/>
        <v/>
      </c>
      <c r="D41" s="23" t="str">
        <f t="shared" si="9"/>
        <v/>
      </c>
      <c r="E41" s="28" t="str">
        <f t="shared" si="9"/>
        <v/>
      </c>
      <c r="F41" s="27"/>
      <c r="G41" s="25" t="str">
        <f t="shared" si="10"/>
        <v/>
      </c>
      <c r="H41" s="25" t="str">
        <f t="shared" si="10"/>
        <v/>
      </c>
      <c r="I41" s="25" t="str">
        <f t="shared" si="10"/>
        <v/>
      </c>
      <c r="J41" s="25" t="str">
        <f t="shared" si="10"/>
        <v/>
      </c>
      <c r="K41" s="25" t="str">
        <f t="shared" si="10"/>
        <v/>
      </c>
      <c r="L41" s="25" t="str">
        <f t="shared" si="10"/>
        <v/>
      </c>
    </row>
    <row r="42" spans="2:12">
      <c r="B42" s="26" t="str">
        <f t="shared" si="9"/>
        <v/>
      </c>
      <c r="C42" s="27" t="str">
        <f t="shared" si="9"/>
        <v/>
      </c>
      <c r="D42" s="23" t="str">
        <f t="shared" si="9"/>
        <v/>
      </c>
      <c r="E42" s="28" t="str">
        <f t="shared" si="9"/>
        <v/>
      </c>
      <c r="F42" s="27"/>
      <c r="G42" s="25" t="str">
        <f t="shared" si="10"/>
        <v/>
      </c>
      <c r="H42" s="25" t="str">
        <f t="shared" si="10"/>
        <v/>
      </c>
      <c r="I42" s="25" t="str">
        <f t="shared" si="10"/>
        <v/>
      </c>
      <c r="J42" s="25" t="str">
        <f t="shared" si="10"/>
        <v/>
      </c>
      <c r="K42" s="25" t="str">
        <f t="shared" si="10"/>
        <v/>
      </c>
      <c r="L42" s="25" t="str">
        <f t="shared" si="10"/>
        <v/>
      </c>
    </row>
    <row r="43" spans="2:12">
      <c r="B43" s="26" t="str">
        <f t="shared" si="9"/>
        <v/>
      </c>
      <c r="C43" s="27" t="str">
        <f t="shared" si="9"/>
        <v/>
      </c>
      <c r="D43" s="23" t="str">
        <f t="shared" si="9"/>
        <v/>
      </c>
      <c r="E43" s="28" t="str">
        <f t="shared" si="9"/>
        <v/>
      </c>
      <c r="F43" s="27"/>
      <c r="G43" s="25" t="str">
        <f t="shared" si="10"/>
        <v/>
      </c>
      <c r="H43" s="25" t="str">
        <f t="shared" si="10"/>
        <v/>
      </c>
      <c r="I43" s="25" t="str">
        <f t="shared" si="10"/>
        <v/>
      </c>
      <c r="J43" s="25" t="str">
        <f t="shared" si="10"/>
        <v/>
      </c>
      <c r="K43" s="25" t="str">
        <f t="shared" si="10"/>
        <v/>
      </c>
      <c r="L43" s="25" t="str">
        <f t="shared" si="10"/>
        <v/>
      </c>
    </row>
    <row r="44" spans="2:12">
      <c r="B44" s="26" t="str">
        <f t="shared" si="9"/>
        <v/>
      </c>
      <c r="C44" s="27" t="str">
        <f t="shared" si="9"/>
        <v/>
      </c>
      <c r="D44" s="23" t="str">
        <f t="shared" si="9"/>
        <v/>
      </c>
      <c r="E44" s="28" t="str">
        <f t="shared" si="9"/>
        <v/>
      </c>
      <c r="F44" s="27"/>
      <c r="G44" s="25" t="str">
        <f t="shared" ref="G44:L44" si="11">IF(LEN(G18)&gt;0,(G18/$F$10)-1,"")</f>
        <v/>
      </c>
      <c r="H44" s="25" t="str">
        <f t="shared" si="11"/>
        <v/>
      </c>
      <c r="I44" s="25" t="str">
        <f t="shared" si="11"/>
        <v/>
      </c>
      <c r="J44" s="25" t="str">
        <f t="shared" si="11"/>
        <v/>
      </c>
      <c r="K44" s="25" t="str">
        <f t="shared" si="11"/>
        <v/>
      </c>
      <c r="L44" s="25" t="str">
        <f t="shared" si="11"/>
        <v/>
      </c>
    </row>
    <row r="45" spans="2:12">
      <c r="B45" s="26" t="str">
        <f t="shared" si="9"/>
        <v/>
      </c>
      <c r="C45" s="27" t="str">
        <f t="shared" si="9"/>
        <v/>
      </c>
      <c r="D45" s="23" t="str">
        <f t="shared" si="9"/>
        <v/>
      </c>
      <c r="E45" s="28" t="str">
        <f t="shared" si="9"/>
        <v/>
      </c>
      <c r="F45" s="27"/>
      <c r="G45" s="25" t="str">
        <f t="shared" ref="G45:L45" si="12">IF(LEN(G19)&gt;0,(G19/$F$10)-1,"")</f>
        <v/>
      </c>
      <c r="H45" s="25" t="str">
        <f t="shared" si="12"/>
        <v/>
      </c>
      <c r="I45" s="25" t="str">
        <f t="shared" si="12"/>
        <v/>
      </c>
      <c r="J45" s="25" t="str">
        <f t="shared" si="12"/>
        <v/>
      </c>
      <c r="K45" s="25" t="str">
        <f t="shared" si="12"/>
        <v/>
      </c>
      <c r="L45" s="25" t="str">
        <f t="shared" si="12"/>
        <v/>
      </c>
    </row>
    <row r="47" spans="2:12">
      <c r="B47" s="39" t="s">
        <v>18</v>
      </c>
      <c r="C47" s="39"/>
      <c r="D47" s="5"/>
      <c r="E47" s="6"/>
      <c r="F47" s="6"/>
      <c r="G47" s="6"/>
      <c r="H47" s="39"/>
      <c r="I47" s="39"/>
      <c r="J47" s="7"/>
      <c r="K47" s="7"/>
    </row>
    <row r="48" spans="2:12" ht="25.5">
      <c r="B48" s="8" t="s">
        <v>2</v>
      </c>
      <c r="C48" s="9" t="s">
        <v>3</v>
      </c>
      <c r="D48" s="8" t="s">
        <v>4</v>
      </c>
      <c r="E48" s="10" t="s">
        <v>5</v>
      </c>
      <c r="F48" s="12" t="s">
        <v>8</v>
      </c>
      <c r="G48" s="12" t="s">
        <v>12</v>
      </c>
      <c r="H48" s="13" t="s">
        <v>6</v>
      </c>
      <c r="I48" s="13" t="s">
        <v>7</v>
      </c>
      <c r="J48" s="13" t="s">
        <v>9</v>
      </c>
      <c r="K48" s="13" t="s">
        <v>10</v>
      </c>
      <c r="L48" s="13" t="s">
        <v>11</v>
      </c>
    </row>
    <row r="49" spans="2:12">
      <c r="B49" s="26">
        <f t="shared" ref="B49:E56" si="13">IF(LEN(B10)&gt;0,B10,"")</f>
        <v>1</v>
      </c>
      <c r="C49" s="26" t="str">
        <f t="shared" si="13"/>
        <v>#3 Lead Pencil</v>
      </c>
      <c r="D49" s="26">
        <f t="shared" si="13"/>
        <v>10000</v>
      </c>
      <c r="E49" s="26" t="str">
        <f t="shared" si="13"/>
        <v>M</v>
      </c>
      <c r="F49" s="27"/>
      <c r="G49" s="29">
        <f t="shared" ref="G49:L56" si="14">IF(LEN(F23)&gt;0,G23-$F$23,"")</f>
        <v>-30500</v>
      </c>
      <c r="H49" s="29">
        <f t="shared" si="14"/>
        <v>-28000</v>
      </c>
      <c r="I49" s="29">
        <f t="shared" si="14"/>
        <v>-30500</v>
      </c>
      <c r="J49" s="29">
        <f t="shared" si="14"/>
        <v>5500</v>
      </c>
      <c r="K49" s="29">
        <f t="shared" si="14"/>
        <v>4299.9999999999418</v>
      </c>
      <c r="L49" s="29">
        <f t="shared" si="14"/>
        <v>-16500</v>
      </c>
    </row>
    <row r="50" spans="2:12">
      <c r="B50" s="26" t="str">
        <f t="shared" si="13"/>
        <v/>
      </c>
      <c r="C50" s="26" t="str">
        <f t="shared" si="13"/>
        <v/>
      </c>
      <c r="D50" s="26" t="str">
        <f t="shared" si="13"/>
        <v/>
      </c>
      <c r="E50" s="26" t="str">
        <f t="shared" si="13"/>
        <v/>
      </c>
      <c r="F50" s="27"/>
      <c r="G50" s="29" t="str">
        <f t="shared" si="14"/>
        <v/>
      </c>
      <c r="H50" s="29" t="str">
        <f t="shared" si="14"/>
        <v/>
      </c>
      <c r="I50" s="29" t="str">
        <f t="shared" si="14"/>
        <v/>
      </c>
      <c r="J50" s="29" t="str">
        <f t="shared" si="14"/>
        <v/>
      </c>
      <c r="K50" s="29" t="str">
        <f t="shared" si="14"/>
        <v/>
      </c>
      <c r="L50" s="29" t="str">
        <f t="shared" si="14"/>
        <v/>
      </c>
    </row>
    <row r="51" spans="2:12">
      <c r="B51" s="26" t="str">
        <f t="shared" si="13"/>
        <v/>
      </c>
      <c r="C51" s="26" t="str">
        <f t="shared" si="13"/>
        <v/>
      </c>
      <c r="D51" s="26" t="str">
        <f t="shared" si="13"/>
        <v/>
      </c>
      <c r="E51" s="26" t="str">
        <f t="shared" si="13"/>
        <v/>
      </c>
      <c r="F51" s="27"/>
      <c r="G51" s="29" t="str">
        <f t="shared" si="14"/>
        <v/>
      </c>
      <c r="H51" s="29" t="str">
        <f t="shared" si="14"/>
        <v/>
      </c>
      <c r="I51" s="29" t="str">
        <f t="shared" si="14"/>
        <v/>
      </c>
      <c r="J51" s="29" t="str">
        <f t="shared" si="14"/>
        <v/>
      </c>
      <c r="K51" s="29" t="str">
        <f t="shared" si="14"/>
        <v/>
      </c>
      <c r="L51" s="29" t="str">
        <f t="shared" si="14"/>
        <v/>
      </c>
    </row>
    <row r="52" spans="2:12">
      <c r="B52" s="26" t="str">
        <f t="shared" si="13"/>
        <v/>
      </c>
      <c r="C52" s="26" t="str">
        <f t="shared" si="13"/>
        <v/>
      </c>
      <c r="D52" s="26" t="str">
        <f t="shared" si="13"/>
        <v/>
      </c>
      <c r="E52" s="26" t="str">
        <f t="shared" si="13"/>
        <v/>
      </c>
      <c r="F52" s="27"/>
      <c r="G52" s="29" t="str">
        <f t="shared" si="14"/>
        <v/>
      </c>
      <c r="H52" s="29" t="str">
        <f t="shared" si="14"/>
        <v/>
      </c>
      <c r="I52" s="29" t="str">
        <f t="shared" si="14"/>
        <v/>
      </c>
      <c r="J52" s="29" t="str">
        <f t="shared" si="14"/>
        <v/>
      </c>
      <c r="K52" s="29" t="str">
        <f t="shared" si="14"/>
        <v/>
      </c>
      <c r="L52" s="29" t="str">
        <f t="shared" si="14"/>
        <v/>
      </c>
    </row>
    <row r="53" spans="2:12">
      <c r="B53" s="26" t="str">
        <f t="shared" si="13"/>
        <v/>
      </c>
      <c r="C53" s="26" t="str">
        <f t="shared" si="13"/>
        <v/>
      </c>
      <c r="D53" s="26" t="str">
        <f t="shared" si="13"/>
        <v/>
      </c>
      <c r="E53" s="26" t="str">
        <f t="shared" si="13"/>
        <v/>
      </c>
      <c r="F53" s="27"/>
      <c r="G53" s="29" t="str">
        <f t="shared" si="14"/>
        <v/>
      </c>
      <c r="H53" s="29" t="str">
        <f t="shared" si="14"/>
        <v/>
      </c>
      <c r="I53" s="29" t="str">
        <f t="shared" si="14"/>
        <v/>
      </c>
      <c r="J53" s="29" t="str">
        <f t="shared" si="14"/>
        <v/>
      </c>
      <c r="K53" s="29" t="str">
        <f t="shared" si="14"/>
        <v/>
      </c>
      <c r="L53" s="29" t="str">
        <f t="shared" si="14"/>
        <v/>
      </c>
    </row>
    <row r="54" spans="2:12">
      <c r="B54" s="26" t="str">
        <f t="shared" si="13"/>
        <v/>
      </c>
      <c r="C54" s="26" t="str">
        <f t="shared" si="13"/>
        <v/>
      </c>
      <c r="D54" s="26" t="str">
        <f t="shared" si="13"/>
        <v/>
      </c>
      <c r="E54" s="26" t="str">
        <f t="shared" si="13"/>
        <v/>
      </c>
      <c r="F54" s="27"/>
      <c r="G54" s="29" t="str">
        <f t="shared" si="14"/>
        <v/>
      </c>
      <c r="H54" s="29" t="str">
        <f t="shared" si="14"/>
        <v/>
      </c>
      <c r="I54" s="29" t="str">
        <f t="shared" si="14"/>
        <v/>
      </c>
      <c r="J54" s="29" t="str">
        <f t="shared" si="14"/>
        <v/>
      </c>
      <c r="K54" s="29" t="str">
        <f t="shared" si="14"/>
        <v/>
      </c>
      <c r="L54" s="29" t="str">
        <f t="shared" si="14"/>
        <v/>
      </c>
    </row>
    <row r="55" spans="2:12">
      <c r="B55" s="26" t="str">
        <f t="shared" si="13"/>
        <v/>
      </c>
      <c r="C55" s="26" t="str">
        <f t="shared" si="13"/>
        <v/>
      </c>
      <c r="D55" s="26" t="str">
        <f t="shared" si="13"/>
        <v/>
      </c>
      <c r="E55" s="26" t="str">
        <f t="shared" si="13"/>
        <v/>
      </c>
      <c r="F55" s="27"/>
      <c r="G55" s="29" t="str">
        <f t="shared" si="14"/>
        <v/>
      </c>
      <c r="H55" s="29" t="str">
        <f t="shared" si="14"/>
        <v/>
      </c>
      <c r="I55" s="29" t="str">
        <f t="shared" si="14"/>
        <v/>
      </c>
      <c r="J55" s="29" t="str">
        <f t="shared" si="14"/>
        <v/>
      </c>
      <c r="K55" s="29" t="str">
        <f t="shared" si="14"/>
        <v/>
      </c>
      <c r="L55" s="29" t="str">
        <f t="shared" si="14"/>
        <v/>
      </c>
    </row>
    <row r="56" spans="2:12">
      <c r="B56" s="26" t="str">
        <f t="shared" si="13"/>
        <v/>
      </c>
      <c r="C56" s="26" t="str">
        <f t="shared" si="13"/>
        <v/>
      </c>
      <c r="D56" s="26" t="str">
        <f t="shared" si="13"/>
        <v/>
      </c>
      <c r="E56" s="26" t="str">
        <f t="shared" si="13"/>
        <v/>
      </c>
      <c r="F56" s="27"/>
      <c r="G56" s="29" t="str">
        <f t="shared" si="14"/>
        <v/>
      </c>
      <c r="H56" s="29" t="str">
        <f t="shared" si="14"/>
        <v/>
      </c>
      <c r="I56" s="29" t="str">
        <f t="shared" si="14"/>
        <v/>
      </c>
      <c r="J56" s="29" t="str">
        <f t="shared" si="14"/>
        <v/>
      </c>
      <c r="K56" s="29" t="str">
        <f t="shared" si="14"/>
        <v/>
      </c>
      <c r="L56" s="29" t="str">
        <f t="shared" si="14"/>
        <v/>
      </c>
    </row>
    <row r="57" spans="2:12">
      <c r="B57" s="26" t="str">
        <f t="shared" ref="B57:E58" si="15">IF(LEN(B18)&gt;0,B18,"")</f>
        <v/>
      </c>
      <c r="C57" s="26" t="str">
        <f t="shared" si="15"/>
        <v/>
      </c>
      <c r="D57" s="26" t="str">
        <f t="shared" si="15"/>
        <v/>
      </c>
      <c r="E57" s="26" t="str">
        <f t="shared" si="15"/>
        <v/>
      </c>
      <c r="F57" s="27"/>
      <c r="G57" s="29" t="str">
        <f t="shared" ref="G57:L57" si="16">IF(LEN(F31)&gt;0,G31-$F$23,"")</f>
        <v/>
      </c>
      <c r="H57" s="29" t="str">
        <f t="shared" si="16"/>
        <v/>
      </c>
      <c r="I57" s="29" t="str">
        <f t="shared" si="16"/>
        <v/>
      </c>
      <c r="J57" s="29" t="str">
        <f t="shared" si="16"/>
        <v/>
      </c>
      <c r="K57" s="29" t="str">
        <f t="shared" si="16"/>
        <v/>
      </c>
      <c r="L57" s="29" t="str">
        <f t="shared" si="16"/>
        <v/>
      </c>
    </row>
    <row r="58" spans="2:12">
      <c r="B58" s="26" t="str">
        <f t="shared" si="15"/>
        <v/>
      </c>
      <c r="C58" s="26" t="str">
        <f t="shared" si="15"/>
        <v/>
      </c>
      <c r="D58" s="26" t="str">
        <f t="shared" si="15"/>
        <v/>
      </c>
      <c r="E58" s="26" t="str">
        <f t="shared" si="15"/>
        <v/>
      </c>
      <c r="F58" s="27"/>
      <c r="G58" s="29" t="str">
        <f t="shared" ref="G58:L58" si="17">IF(LEN(F32)&gt;0,G32-$F$23,"")</f>
        <v/>
      </c>
      <c r="H58" s="29" t="str">
        <f t="shared" si="17"/>
        <v/>
      </c>
      <c r="I58" s="29" t="str">
        <f t="shared" si="17"/>
        <v/>
      </c>
      <c r="J58" s="29" t="str">
        <f t="shared" si="17"/>
        <v/>
      </c>
      <c r="K58" s="29" t="str">
        <f t="shared" si="17"/>
        <v/>
      </c>
      <c r="L58" s="29" t="str">
        <f t="shared" si="17"/>
        <v/>
      </c>
    </row>
    <row r="60" spans="2:12">
      <c r="B60" s="39" t="s">
        <v>19</v>
      </c>
      <c r="C60" s="39"/>
      <c r="D60" s="5"/>
      <c r="E60" s="6"/>
      <c r="F60" s="6"/>
      <c r="G60" s="6"/>
      <c r="H60" s="39"/>
      <c r="I60" s="39"/>
      <c r="J60" s="7"/>
      <c r="K60" s="7"/>
    </row>
    <row r="61" spans="2:12" ht="25.5">
      <c r="B61" s="8" t="s">
        <v>2</v>
      </c>
      <c r="C61" s="9" t="s">
        <v>3</v>
      </c>
      <c r="D61" s="8" t="s">
        <v>4</v>
      </c>
      <c r="E61" s="10" t="s">
        <v>5</v>
      </c>
      <c r="F61" s="12" t="s">
        <v>8</v>
      </c>
      <c r="G61" s="12" t="s">
        <v>12</v>
      </c>
      <c r="H61" s="13" t="s">
        <v>6</v>
      </c>
      <c r="I61" s="13" t="s">
        <v>7</v>
      </c>
      <c r="J61" s="13" t="s">
        <v>9</v>
      </c>
      <c r="K61" s="13" t="s">
        <v>10</v>
      </c>
      <c r="L61" s="13" t="s">
        <v>11</v>
      </c>
    </row>
    <row r="62" spans="2:12">
      <c r="B62" s="26">
        <f t="shared" ref="B62:E69" si="18">IF(LEN(B10)&gt;0,B10,"")</f>
        <v>1</v>
      </c>
      <c r="C62" s="26" t="str">
        <f t="shared" si="18"/>
        <v>#3 Lead Pencil</v>
      </c>
      <c r="D62" s="26">
        <f t="shared" si="18"/>
        <v>10000</v>
      </c>
      <c r="E62" s="26" t="str">
        <f t="shared" si="18"/>
        <v>M</v>
      </c>
      <c r="F62" s="27"/>
      <c r="G62" s="30">
        <f t="shared" ref="G62:L69" si="19">IF(LEN(G10)&gt;0,G10-$F$10,"")</f>
        <v>-3.0499999999999972</v>
      </c>
      <c r="H62" s="30">
        <f t="shared" si="19"/>
        <v>-2.7999999999999972</v>
      </c>
      <c r="I62" s="30">
        <f t="shared" si="19"/>
        <v>-3.0499999999999972</v>
      </c>
      <c r="J62" s="30">
        <f t="shared" si="19"/>
        <v>0.55000000000000426</v>
      </c>
      <c r="K62" s="30">
        <f t="shared" si="19"/>
        <v>0.42999999999999972</v>
      </c>
      <c r="L62" s="30">
        <f t="shared" si="19"/>
        <v>-1.6499999999999986</v>
      </c>
    </row>
    <row r="63" spans="2:12">
      <c r="B63" s="26" t="str">
        <f t="shared" si="18"/>
        <v/>
      </c>
      <c r="C63" s="26" t="str">
        <f t="shared" si="18"/>
        <v/>
      </c>
      <c r="D63" s="26" t="str">
        <f t="shared" si="18"/>
        <v/>
      </c>
      <c r="E63" s="26" t="str">
        <f t="shared" si="18"/>
        <v/>
      </c>
      <c r="F63" s="27"/>
      <c r="G63" s="30" t="str">
        <f t="shared" si="19"/>
        <v/>
      </c>
      <c r="H63" s="30" t="str">
        <f t="shared" si="19"/>
        <v/>
      </c>
      <c r="I63" s="30" t="str">
        <f t="shared" si="19"/>
        <v/>
      </c>
      <c r="J63" s="30" t="str">
        <f t="shared" si="19"/>
        <v/>
      </c>
      <c r="K63" s="30" t="str">
        <f t="shared" si="19"/>
        <v/>
      </c>
      <c r="L63" s="30" t="str">
        <f t="shared" si="19"/>
        <v/>
      </c>
    </row>
    <row r="64" spans="2:12">
      <c r="B64" s="26" t="str">
        <f t="shared" si="18"/>
        <v/>
      </c>
      <c r="C64" s="26" t="str">
        <f t="shared" si="18"/>
        <v/>
      </c>
      <c r="D64" s="26" t="str">
        <f t="shared" si="18"/>
        <v/>
      </c>
      <c r="E64" s="26" t="str">
        <f t="shared" si="18"/>
        <v/>
      </c>
      <c r="F64" s="27"/>
      <c r="G64" s="30" t="str">
        <f t="shared" si="19"/>
        <v/>
      </c>
      <c r="H64" s="30" t="str">
        <f t="shared" si="19"/>
        <v/>
      </c>
      <c r="I64" s="30" t="str">
        <f t="shared" si="19"/>
        <v/>
      </c>
      <c r="J64" s="30" t="str">
        <f t="shared" si="19"/>
        <v/>
      </c>
      <c r="K64" s="30" t="str">
        <f t="shared" si="19"/>
        <v/>
      </c>
      <c r="L64" s="30" t="str">
        <f t="shared" si="19"/>
        <v/>
      </c>
    </row>
    <row r="65" spans="2:12">
      <c r="B65" s="26" t="str">
        <f t="shared" si="18"/>
        <v/>
      </c>
      <c r="C65" s="26" t="str">
        <f t="shared" si="18"/>
        <v/>
      </c>
      <c r="D65" s="26" t="str">
        <f t="shared" si="18"/>
        <v/>
      </c>
      <c r="E65" s="26" t="str">
        <f t="shared" si="18"/>
        <v/>
      </c>
      <c r="F65" s="27"/>
      <c r="G65" s="30" t="str">
        <f t="shared" si="19"/>
        <v/>
      </c>
      <c r="H65" s="30" t="str">
        <f t="shared" si="19"/>
        <v/>
      </c>
      <c r="I65" s="30" t="str">
        <f t="shared" si="19"/>
        <v/>
      </c>
      <c r="J65" s="30" t="str">
        <f t="shared" si="19"/>
        <v/>
      </c>
      <c r="K65" s="30" t="str">
        <f t="shared" si="19"/>
        <v/>
      </c>
      <c r="L65" s="30" t="str">
        <f t="shared" si="19"/>
        <v/>
      </c>
    </row>
    <row r="66" spans="2:12">
      <c r="B66" s="26" t="str">
        <f t="shared" si="18"/>
        <v/>
      </c>
      <c r="C66" s="26" t="str">
        <f t="shared" si="18"/>
        <v/>
      </c>
      <c r="D66" s="26" t="str">
        <f t="shared" si="18"/>
        <v/>
      </c>
      <c r="E66" s="26" t="str">
        <f t="shared" si="18"/>
        <v/>
      </c>
      <c r="F66" s="27"/>
      <c r="G66" s="30" t="str">
        <f t="shared" si="19"/>
        <v/>
      </c>
      <c r="H66" s="30" t="str">
        <f t="shared" si="19"/>
        <v/>
      </c>
      <c r="I66" s="30" t="str">
        <f t="shared" si="19"/>
        <v/>
      </c>
      <c r="J66" s="30" t="str">
        <f t="shared" si="19"/>
        <v/>
      </c>
      <c r="K66" s="30" t="str">
        <f t="shared" si="19"/>
        <v/>
      </c>
      <c r="L66" s="30" t="str">
        <f t="shared" si="19"/>
        <v/>
      </c>
    </row>
    <row r="67" spans="2:12">
      <c r="B67" s="26" t="str">
        <f t="shared" si="18"/>
        <v/>
      </c>
      <c r="C67" s="26" t="str">
        <f t="shared" si="18"/>
        <v/>
      </c>
      <c r="D67" s="26" t="str">
        <f t="shared" si="18"/>
        <v/>
      </c>
      <c r="E67" s="26" t="str">
        <f t="shared" si="18"/>
        <v/>
      </c>
      <c r="F67" s="27"/>
      <c r="G67" s="30" t="str">
        <f t="shared" si="19"/>
        <v/>
      </c>
      <c r="H67" s="30" t="str">
        <f t="shared" si="19"/>
        <v/>
      </c>
      <c r="I67" s="30" t="str">
        <f t="shared" si="19"/>
        <v/>
      </c>
      <c r="J67" s="30" t="str">
        <f t="shared" si="19"/>
        <v/>
      </c>
      <c r="K67" s="30" t="str">
        <f t="shared" si="19"/>
        <v/>
      </c>
      <c r="L67" s="30" t="str">
        <f t="shared" si="19"/>
        <v/>
      </c>
    </row>
    <row r="68" spans="2:12">
      <c r="B68" s="26" t="str">
        <f t="shared" si="18"/>
        <v/>
      </c>
      <c r="C68" s="26" t="str">
        <f t="shared" si="18"/>
        <v/>
      </c>
      <c r="D68" s="26" t="str">
        <f t="shared" si="18"/>
        <v/>
      </c>
      <c r="E68" s="26" t="str">
        <f t="shared" si="18"/>
        <v/>
      </c>
      <c r="F68" s="27"/>
      <c r="G68" s="30" t="str">
        <f t="shared" si="19"/>
        <v/>
      </c>
      <c r="H68" s="30" t="str">
        <f t="shared" si="19"/>
        <v/>
      </c>
      <c r="I68" s="30" t="str">
        <f t="shared" si="19"/>
        <v/>
      </c>
      <c r="J68" s="30" t="str">
        <f t="shared" si="19"/>
        <v/>
      </c>
      <c r="K68" s="30" t="str">
        <f t="shared" si="19"/>
        <v/>
      </c>
      <c r="L68" s="30" t="str">
        <f t="shared" si="19"/>
        <v/>
      </c>
    </row>
    <row r="69" spans="2:12">
      <c r="B69" s="26" t="str">
        <f t="shared" si="18"/>
        <v/>
      </c>
      <c r="C69" s="26" t="str">
        <f t="shared" si="18"/>
        <v/>
      </c>
      <c r="D69" s="26" t="str">
        <f t="shared" si="18"/>
        <v/>
      </c>
      <c r="E69" s="26" t="str">
        <f t="shared" si="18"/>
        <v/>
      </c>
      <c r="F69" s="27"/>
      <c r="G69" s="30" t="str">
        <f t="shared" si="19"/>
        <v/>
      </c>
      <c r="H69" s="30" t="str">
        <f t="shared" si="19"/>
        <v/>
      </c>
      <c r="I69" s="30" t="str">
        <f t="shared" si="19"/>
        <v/>
      </c>
      <c r="J69" s="30" t="str">
        <f t="shared" si="19"/>
        <v/>
      </c>
      <c r="K69" s="30" t="str">
        <f t="shared" si="19"/>
        <v/>
      </c>
      <c r="L69" s="30" t="str">
        <f t="shared" si="19"/>
        <v/>
      </c>
    </row>
    <row r="70" spans="2:12">
      <c r="B70" s="26" t="str">
        <f t="shared" ref="B70:E71" si="20">IF(LEN(B18)&gt;0,B18,"")</f>
        <v/>
      </c>
      <c r="C70" s="26" t="str">
        <f t="shared" si="20"/>
        <v/>
      </c>
      <c r="D70" s="26" t="str">
        <f t="shared" si="20"/>
        <v/>
      </c>
      <c r="E70" s="26" t="str">
        <f t="shared" si="20"/>
        <v/>
      </c>
      <c r="F70" s="27"/>
      <c r="G70" s="30" t="str">
        <f t="shared" ref="G70:L70" si="21">IF(LEN(G18)&gt;0,G18-$F$10,"")</f>
        <v/>
      </c>
      <c r="H70" s="30" t="str">
        <f t="shared" si="21"/>
        <v/>
      </c>
      <c r="I70" s="30" t="str">
        <f t="shared" si="21"/>
        <v/>
      </c>
      <c r="J70" s="30" t="str">
        <f t="shared" si="21"/>
        <v/>
      </c>
      <c r="K70" s="30" t="str">
        <f t="shared" si="21"/>
        <v/>
      </c>
      <c r="L70" s="30" t="str">
        <f t="shared" si="21"/>
        <v/>
      </c>
    </row>
    <row r="71" spans="2:12">
      <c r="B71" s="26" t="str">
        <f t="shared" si="20"/>
        <v/>
      </c>
      <c r="C71" s="26" t="str">
        <f t="shared" si="20"/>
        <v/>
      </c>
      <c r="D71" s="26" t="str">
        <f t="shared" si="20"/>
        <v/>
      </c>
      <c r="E71" s="26" t="str">
        <f t="shared" si="20"/>
        <v/>
      </c>
      <c r="F71" s="27"/>
      <c r="G71" s="30" t="str">
        <f t="shared" ref="G71:L71" si="22">IF(LEN(G19)&gt;0,G19-$F$10,"")</f>
        <v/>
      </c>
      <c r="H71" s="30" t="str">
        <f t="shared" si="22"/>
        <v/>
      </c>
      <c r="I71" s="30" t="str">
        <f t="shared" si="22"/>
        <v/>
      </c>
      <c r="J71" s="30" t="str">
        <f t="shared" si="22"/>
        <v/>
      </c>
      <c r="K71" s="30" t="str">
        <f t="shared" si="22"/>
        <v/>
      </c>
      <c r="L71" s="30" t="str">
        <f t="shared" si="22"/>
        <v/>
      </c>
    </row>
    <row r="72" spans="2:12"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</row>
    <row r="73" spans="2:12">
      <c r="B73" s="39" t="s">
        <v>20</v>
      </c>
      <c r="C73" s="39"/>
      <c r="D73" s="5"/>
      <c r="E73" s="6"/>
      <c r="F73" s="6"/>
      <c r="G73" s="6"/>
      <c r="H73" s="39"/>
      <c r="I73" s="39"/>
      <c r="J73" s="7"/>
      <c r="K73" s="7"/>
    </row>
    <row r="74" spans="2:12" ht="25.5">
      <c r="B74" s="8" t="s">
        <v>2</v>
      </c>
      <c r="C74" s="9" t="s">
        <v>3</v>
      </c>
      <c r="D74" s="8" t="s">
        <v>4</v>
      </c>
      <c r="E74" s="10" t="s">
        <v>5</v>
      </c>
      <c r="F74" s="12" t="s">
        <v>8</v>
      </c>
      <c r="G74" s="12" t="s">
        <v>12</v>
      </c>
      <c r="H74" s="13" t="s">
        <v>6</v>
      </c>
      <c r="I74" s="13" t="s">
        <v>7</v>
      </c>
      <c r="J74" s="13" t="s">
        <v>9</v>
      </c>
      <c r="K74" s="13" t="s">
        <v>10</v>
      </c>
      <c r="L74" s="13" t="s">
        <v>11</v>
      </c>
    </row>
    <row r="75" spans="2:12">
      <c r="B75" s="26">
        <f t="shared" ref="B75:E82" si="23">IF(LEN(B10)&gt;0,B10,"")</f>
        <v>1</v>
      </c>
      <c r="C75" s="26" t="str">
        <f t="shared" si="23"/>
        <v>#3 Lead Pencil</v>
      </c>
      <c r="D75" s="26">
        <f t="shared" si="23"/>
        <v>10000</v>
      </c>
      <c r="E75" s="26" t="str">
        <f t="shared" si="23"/>
        <v>M</v>
      </c>
      <c r="F75" s="25">
        <f>IF(LEN(F10)&gt;0,(F10/$G$10)-1,"")</f>
        <v>7.9220779220779081E-2</v>
      </c>
      <c r="G75" s="27"/>
      <c r="H75" s="25">
        <f t="shared" ref="H75:L84" si="24">IF(LEN(H10)&gt;0,(H10/$G$10)-1,"")</f>
        <v>6.4935064935065512E-3</v>
      </c>
      <c r="I75" s="25">
        <f t="shared" si="24"/>
        <v>0</v>
      </c>
      <c r="J75" s="25">
        <f t="shared" si="24"/>
        <v>9.3506493506493538E-2</v>
      </c>
      <c r="K75" s="25">
        <f t="shared" si="24"/>
        <v>9.0389610389610242E-2</v>
      </c>
      <c r="L75" s="25">
        <f t="shared" si="24"/>
        <v>3.6363636363636376E-2</v>
      </c>
    </row>
    <row r="76" spans="2:12">
      <c r="B76" s="26" t="str">
        <f t="shared" si="23"/>
        <v/>
      </c>
      <c r="C76" s="26" t="str">
        <f t="shared" si="23"/>
        <v/>
      </c>
      <c r="D76" s="26" t="str">
        <f t="shared" si="23"/>
        <v/>
      </c>
      <c r="E76" s="26" t="str">
        <f t="shared" si="23"/>
        <v/>
      </c>
      <c r="F76" s="25" t="str">
        <f t="shared" ref="F76:F84" si="25">IF(LEN(F11)&gt;0,(F11/$G$10)-1,"")</f>
        <v/>
      </c>
      <c r="G76" s="27"/>
      <c r="H76" s="25" t="str">
        <f t="shared" si="24"/>
        <v/>
      </c>
      <c r="I76" s="25" t="str">
        <f t="shared" si="24"/>
        <v/>
      </c>
      <c r="J76" s="25" t="str">
        <f t="shared" si="24"/>
        <v/>
      </c>
      <c r="K76" s="25" t="str">
        <f t="shared" si="24"/>
        <v/>
      </c>
      <c r="L76" s="25" t="str">
        <f t="shared" si="24"/>
        <v/>
      </c>
    </row>
    <row r="77" spans="2:12">
      <c r="B77" s="26" t="str">
        <f t="shared" si="23"/>
        <v/>
      </c>
      <c r="C77" s="26" t="str">
        <f t="shared" si="23"/>
        <v/>
      </c>
      <c r="D77" s="26" t="str">
        <f t="shared" si="23"/>
        <v/>
      </c>
      <c r="E77" s="26" t="str">
        <f t="shared" si="23"/>
        <v/>
      </c>
      <c r="F77" s="25" t="str">
        <f t="shared" si="25"/>
        <v/>
      </c>
      <c r="G77" s="27"/>
      <c r="H77" s="25" t="str">
        <f t="shared" si="24"/>
        <v/>
      </c>
      <c r="I77" s="25" t="str">
        <f t="shared" si="24"/>
        <v/>
      </c>
      <c r="J77" s="25" t="str">
        <f t="shared" si="24"/>
        <v/>
      </c>
      <c r="K77" s="25" t="str">
        <f t="shared" si="24"/>
        <v/>
      </c>
      <c r="L77" s="25" t="str">
        <f t="shared" si="24"/>
        <v/>
      </c>
    </row>
    <row r="78" spans="2:12">
      <c r="B78" s="26" t="str">
        <f t="shared" si="23"/>
        <v/>
      </c>
      <c r="C78" s="26" t="str">
        <f t="shared" si="23"/>
        <v/>
      </c>
      <c r="D78" s="26" t="str">
        <f t="shared" si="23"/>
        <v/>
      </c>
      <c r="E78" s="26" t="str">
        <f t="shared" si="23"/>
        <v/>
      </c>
      <c r="F78" s="25" t="str">
        <f t="shared" si="25"/>
        <v/>
      </c>
      <c r="G78" s="27"/>
      <c r="H78" s="25" t="str">
        <f t="shared" si="24"/>
        <v/>
      </c>
      <c r="I78" s="25" t="str">
        <f t="shared" si="24"/>
        <v/>
      </c>
      <c r="J78" s="25" t="str">
        <f t="shared" si="24"/>
        <v/>
      </c>
      <c r="K78" s="25" t="str">
        <f t="shared" si="24"/>
        <v/>
      </c>
      <c r="L78" s="25" t="str">
        <f t="shared" si="24"/>
        <v/>
      </c>
    </row>
    <row r="79" spans="2:12">
      <c r="B79" s="26" t="str">
        <f t="shared" si="23"/>
        <v/>
      </c>
      <c r="C79" s="26" t="str">
        <f t="shared" si="23"/>
        <v/>
      </c>
      <c r="D79" s="26" t="str">
        <f t="shared" si="23"/>
        <v/>
      </c>
      <c r="E79" s="26" t="str">
        <f t="shared" si="23"/>
        <v/>
      </c>
      <c r="F79" s="25" t="str">
        <f t="shared" si="25"/>
        <v/>
      </c>
      <c r="G79" s="27"/>
      <c r="H79" s="25" t="str">
        <f t="shared" si="24"/>
        <v/>
      </c>
      <c r="I79" s="25" t="str">
        <f t="shared" si="24"/>
        <v/>
      </c>
      <c r="J79" s="25" t="str">
        <f t="shared" si="24"/>
        <v/>
      </c>
      <c r="K79" s="25" t="str">
        <f t="shared" si="24"/>
        <v/>
      </c>
      <c r="L79" s="25" t="str">
        <f t="shared" si="24"/>
        <v/>
      </c>
    </row>
    <row r="80" spans="2:12">
      <c r="B80" s="26" t="str">
        <f t="shared" si="23"/>
        <v/>
      </c>
      <c r="C80" s="26" t="str">
        <f t="shared" si="23"/>
        <v/>
      </c>
      <c r="D80" s="26" t="str">
        <f t="shared" si="23"/>
        <v/>
      </c>
      <c r="E80" s="26" t="str">
        <f t="shared" si="23"/>
        <v/>
      </c>
      <c r="F80" s="25" t="str">
        <f t="shared" si="25"/>
        <v/>
      </c>
      <c r="G80" s="27"/>
      <c r="H80" s="25" t="str">
        <f t="shared" si="24"/>
        <v/>
      </c>
      <c r="I80" s="25" t="str">
        <f t="shared" si="24"/>
        <v/>
      </c>
      <c r="J80" s="25" t="str">
        <f t="shared" si="24"/>
        <v/>
      </c>
      <c r="K80" s="25" t="str">
        <f t="shared" si="24"/>
        <v/>
      </c>
      <c r="L80" s="25" t="str">
        <f t="shared" si="24"/>
        <v/>
      </c>
    </row>
    <row r="81" spans="2:12">
      <c r="B81" s="26" t="str">
        <f t="shared" si="23"/>
        <v/>
      </c>
      <c r="C81" s="26" t="str">
        <f t="shared" si="23"/>
        <v/>
      </c>
      <c r="D81" s="26" t="str">
        <f t="shared" si="23"/>
        <v/>
      </c>
      <c r="E81" s="26" t="str">
        <f t="shared" si="23"/>
        <v/>
      </c>
      <c r="F81" s="25" t="str">
        <f t="shared" si="25"/>
        <v/>
      </c>
      <c r="G81" s="27"/>
      <c r="H81" s="25" t="str">
        <f t="shared" si="24"/>
        <v/>
      </c>
      <c r="I81" s="25" t="str">
        <f t="shared" si="24"/>
        <v/>
      </c>
      <c r="J81" s="25" t="str">
        <f t="shared" si="24"/>
        <v/>
      </c>
      <c r="K81" s="25" t="str">
        <f t="shared" si="24"/>
        <v/>
      </c>
      <c r="L81" s="25" t="str">
        <f t="shared" si="24"/>
        <v/>
      </c>
    </row>
    <row r="82" spans="2:12">
      <c r="B82" s="26" t="str">
        <f t="shared" si="23"/>
        <v/>
      </c>
      <c r="C82" s="26" t="str">
        <f t="shared" si="23"/>
        <v/>
      </c>
      <c r="D82" s="26" t="str">
        <f t="shared" si="23"/>
        <v/>
      </c>
      <c r="E82" s="26" t="str">
        <f t="shared" si="23"/>
        <v/>
      </c>
      <c r="F82" s="25" t="str">
        <f t="shared" si="25"/>
        <v/>
      </c>
      <c r="G82" s="27"/>
      <c r="H82" s="25" t="str">
        <f t="shared" si="24"/>
        <v/>
      </c>
      <c r="I82" s="25" t="str">
        <f t="shared" si="24"/>
        <v/>
      </c>
      <c r="J82" s="25" t="str">
        <f t="shared" si="24"/>
        <v/>
      </c>
      <c r="K82" s="25" t="str">
        <f t="shared" si="24"/>
        <v/>
      </c>
      <c r="L82" s="25" t="str">
        <f t="shared" si="24"/>
        <v/>
      </c>
    </row>
    <row r="83" spans="2:12">
      <c r="B83" s="26" t="str">
        <f t="shared" ref="B83:E84" si="26">IF(LEN(B18)&gt;0,B18,"")</f>
        <v/>
      </c>
      <c r="C83" s="26" t="str">
        <f t="shared" si="26"/>
        <v/>
      </c>
      <c r="D83" s="26" t="str">
        <f t="shared" si="26"/>
        <v/>
      </c>
      <c r="E83" s="26" t="str">
        <f t="shared" si="26"/>
        <v/>
      </c>
      <c r="F83" s="25" t="str">
        <f t="shared" si="25"/>
        <v/>
      </c>
      <c r="G83" s="27"/>
      <c r="H83" s="25" t="str">
        <f t="shared" si="24"/>
        <v/>
      </c>
      <c r="I83" s="25" t="str">
        <f t="shared" si="24"/>
        <v/>
      </c>
      <c r="J83" s="25" t="str">
        <f t="shared" si="24"/>
        <v/>
      </c>
      <c r="K83" s="25" t="str">
        <f t="shared" si="24"/>
        <v/>
      </c>
      <c r="L83" s="25" t="str">
        <f t="shared" si="24"/>
        <v/>
      </c>
    </row>
    <row r="84" spans="2:12">
      <c r="B84" s="26" t="str">
        <f t="shared" si="26"/>
        <v/>
      </c>
      <c r="C84" s="26" t="str">
        <f t="shared" si="26"/>
        <v/>
      </c>
      <c r="D84" s="26" t="str">
        <f t="shared" si="26"/>
        <v/>
      </c>
      <c r="E84" s="26" t="str">
        <f t="shared" si="26"/>
        <v/>
      </c>
      <c r="F84" s="25" t="str">
        <f t="shared" si="25"/>
        <v/>
      </c>
      <c r="G84" s="27"/>
      <c r="H84" s="25" t="str">
        <f t="shared" si="24"/>
        <v/>
      </c>
      <c r="I84" s="25" t="str">
        <f t="shared" si="24"/>
        <v/>
      </c>
      <c r="J84" s="25" t="str">
        <f t="shared" si="24"/>
        <v/>
      </c>
      <c r="K84" s="25" t="str">
        <f t="shared" si="24"/>
        <v/>
      </c>
      <c r="L84" s="25" t="str">
        <f t="shared" si="24"/>
        <v/>
      </c>
    </row>
    <row r="86" spans="2:12">
      <c r="B86" s="39" t="s">
        <v>21</v>
      </c>
      <c r="C86" s="39"/>
      <c r="D86" s="5"/>
      <c r="E86" s="6"/>
      <c r="F86" s="6"/>
      <c r="G86" s="6"/>
      <c r="H86" s="39"/>
      <c r="I86" s="39"/>
      <c r="J86" s="7"/>
      <c r="K86" s="7"/>
    </row>
    <row r="87" spans="2:12" ht="25.5">
      <c r="B87" s="8" t="s">
        <v>2</v>
      </c>
      <c r="C87" s="9" t="s">
        <v>3</v>
      </c>
      <c r="D87" s="8" t="s">
        <v>4</v>
      </c>
      <c r="E87" s="10" t="s">
        <v>5</v>
      </c>
      <c r="F87" s="12" t="s">
        <v>8</v>
      </c>
      <c r="G87" s="12" t="s">
        <v>12</v>
      </c>
      <c r="H87" s="13" t="s">
        <v>6</v>
      </c>
      <c r="I87" s="13" t="s">
        <v>7</v>
      </c>
      <c r="J87" s="13" t="s">
        <v>9</v>
      </c>
      <c r="K87" s="13" t="s">
        <v>10</v>
      </c>
      <c r="L87" s="13" t="s">
        <v>11</v>
      </c>
    </row>
    <row r="88" spans="2:12">
      <c r="B88" s="26">
        <f t="shared" ref="B88:E95" si="27">IF(LEN(B10)&gt;0,B10,"")</f>
        <v>1</v>
      </c>
      <c r="C88" s="26" t="str">
        <f t="shared" si="27"/>
        <v>#3 Lead Pencil</v>
      </c>
      <c r="D88" s="26">
        <f t="shared" si="27"/>
        <v>10000</v>
      </c>
      <c r="E88" s="26" t="str">
        <f t="shared" si="27"/>
        <v>M</v>
      </c>
      <c r="F88" s="29">
        <f>IF(LEN(F23)&gt;0,F23-$G$90,"")</f>
        <v>415500</v>
      </c>
      <c r="G88" s="27"/>
      <c r="H88" s="29">
        <f t="shared" ref="H88:L97" si="28">IF(LEN(H23)&gt;0,H23-$G$90,"")</f>
        <v>387500</v>
      </c>
      <c r="I88" s="29">
        <f t="shared" si="28"/>
        <v>385000</v>
      </c>
      <c r="J88" s="29">
        <f t="shared" si="28"/>
        <v>421000</v>
      </c>
      <c r="K88" s="29">
        <f t="shared" si="28"/>
        <v>419799.99999999994</v>
      </c>
      <c r="L88" s="29">
        <f t="shared" si="28"/>
        <v>399000</v>
      </c>
    </row>
    <row r="89" spans="2:12">
      <c r="B89" s="26" t="str">
        <f t="shared" si="27"/>
        <v/>
      </c>
      <c r="C89" s="26" t="str">
        <f t="shared" si="27"/>
        <v/>
      </c>
      <c r="D89" s="26" t="str">
        <f t="shared" si="27"/>
        <v/>
      </c>
      <c r="E89" s="26" t="str">
        <f t="shared" si="27"/>
        <v/>
      </c>
      <c r="F89" s="29" t="str">
        <f t="shared" ref="F89:F97" si="29">IF(LEN(F24)&gt;0,F24-$G$90,"")</f>
        <v/>
      </c>
      <c r="G89" s="27"/>
      <c r="H89" s="29" t="str">
        <f t="shared" si="28"/>
        <v/>
      </c>
      <c r="I89" s="29" t="str">
        <f t="shared" si="28"/>
        <v/>
      </c>
      <c r="J89" s="29" t="str">
        <f t="shared" si="28"/>
        <v/>
      </c>
      <c r="K89" s="29" t="str">
        <f t="shared" si="28"/>
        <v/>
      </c>
      <c r="L89" s="29" t="str">
        <f t="shared" si="28"/>
        <v/>
      </c>
    </row>
    <row r="90" spans="2:12">
      <c r="B90" s="26" t="str">
        <f t="shared" si="27"/>
        <v/>
      </c>
      <c r="C90" s="26" t="str">
        <f t="shared" si="27"/>
        <v/>
      </c>
      <c r="D90" s="26" t="str">
        <f t="shared" si="27"/>
        <v/>
      </c>
      <c r="E90" s="26" t="str">
        <f t="shared" si="27"/>
        <v/>
      </c>
      <c r="F90" s="29" t="str">
        <f t="shared" si="29"/>
        <v/>
      </c>
      <c r="G90" s="27"/>
      <c r="H90" s="29" t="str">
        <f t="shared" si="28"/>
        <v/>
      </c>
      <c r="I90" s="29" t="str">
        <f t="shared" si="28"/>
        <v/>
      </c>
      <c r="J90" s="29" t="str">
        <f t="shared" si="28"/>
        <v/>
      </c>
      <c r="K90" s="29" t="str">
        <f t="shared" si="28"/>
        <v/>
      </c>
      <c r="L90" s="29" t="str">
        <f t="shared" si="28"/>
        <v/>
      </c>
    </row>
    <row r="91" spans="2:12">
      <c r="B91" s="26" t="str">
        <f t="shared" si="27"/>
        <v/>
      </c>
      <c r="C91" s="26" t="str">
        <f t="shared" si="27"/>
        <v/>
      </c>
      <c r="D91" s="26" t="str">
        <f t="shared" si="27"/>
        <v/>
      </c>
      <c r="E91" s="26" t="str">
        <f t="shared" si="27"/>
        <v/>
      </c>
      <c r="F91" s="29" t="str">
        <f t="shared" si="29"/>
        <v/>
      </c>
      <c r="G91" s="27"/>
      <c r="H91" s="29" t="str">
        <f t="shared" si="28"/>
        <v/>
      </c>
      <c r="I91" s="29" t="str">
        <f t="shared" si="28"/>
        <v/>
      </c>
      <c r="J91" s="29" t="str">
        <f t="shared" si="28"/>
        <v/>
      </c>
      <c r="K91" s="29" t="str">
        <f t="shared" si="28"/>
        <v/>
      </c>
      <c r="L91" s="29" t="str">
        <f t="shared" si="28"/>
        <v/>
      </c>
    </row>
    <row r="92" spans="2:12">
      <c r="B92" s="26" t="str">
        <f t="shared" si="27"/>
        <v/>
      </c>
      <c r="C92" s="26" t="str">
        <f t="shared" si="27"/>
        <v/>
      </c>
      <c r="D92" s="26" t="str">
        <f t="shared" si="27"/>
        <v/>
      </c>
      <c r="E92" s="26" t="str">
        <f t="shared" si="27"/>
        <v/>
      </c>
      <c r="F92" s="29" t="str">
        <f t="shared" si="29"/>
        <v/>
      </c>
      <c r="G92" s="27"/>
      <c r="H92" s="29" t="str">
        <f t="shared" si="28"/>
        <v/>
      </c>
      <c r="I92" s="29" t="str">
        <f t="shared" si="28"/>
        <v/>
      </c>
      <c r="J92" s="29" t="str">
        <f t="shared" si="28"/>
        <v/>
      </c>
      <c r="K92" s="29" t="str">
        <f t="shared" si="28"/>
        <v/>
      </c>
      <c r="L92" s="29" t="str">
        <f t="shared" si="28"/>
        <v/>
      </c>
    </row>
    <row r="93" spans="2:12">
      <c r="B93" s="26" t="str">
        <f t="shared" si="27"/>
        <v/>
      </c>
      <c r="C93" s="26" t="str">
        <f t="shared" si="27"/>
        <v/>
      </c>
      <c r="D93" s="26" t="str">
        <f t="shared" si="27"/>
        <v/>
      </c>
      <c r="E93" s="26" t="str">
        <f t="shared" si="27"/>
        <v/>
      </c>
      <c r="F93" s="29" t="str">
        <f t="shared" si="29"/>
        <v/>
      </c>
      <c r="G93" s="27"/>
      <c r="H93" s="29" t="str">
        <f t="shared" si="28"/>
        <v/>
      </c>
      <c r="I93" s="29" t="str">
        <f t="shared" si="28"/>
        <v/>
      </c>
      <c r="J93" s="29" t="str">
        <f t="shared" si="28"/>
        <v/>
      </c>
      <c r="K93" s="29" t="str">
        <f t="shared" si="28"/>
        <v/>
      </c>
      <c r="L93" s="29" t="str">
        <f t="shared" si="28"/>
        <v/>
      </c>
    </row>
    <row r="94" spans="2:12">
      <c r="B94" s="26" t="str">
        <f t="shared" si="27"/>
        <v/>
      </c>
      <c r="C94" s="26" t="str">
        <f t="shared" si="27"/>
        <v/>
      </c>
      <c r="D94" s="26" t="str">
        <f t="shared" si="27"/>
        <v/>
      </c>
      <c r="E94" s="26" t="str">
        <f t="shared" si="27"/>
        <v/>
      </c>
      <c r="F94" s="29" t="str">
        <f t="shared" si="29"/>
        <v/>
      </c>
      <c r="G94" s="27"/>
      <c r="H94" s="29" t="str">
        <f t="shared" si="28"/>
        <v/>
      </c>
      <c r="I94" s="29" t="str">
        <f t="shared" si="28"/>
        <v/>
      </c>
      <c r="J94" s="29" t="str">
        <f t="shared" si="28"/>
        <v/>
      </c>
      <c r="K94" s="29" t="str">
        <f t="shared" si="28"/>
        <v/>
      </c>
      <c r="L94" s="29" t="str">
        <f t="shared" si="28"/>
        <v/>
      </c>
    </row>
    <row r="95" spans="2:12">
      <c r="B95" s="26" t="str">
        <f t="shared" si="27"/>
        <v/>
      </c>
      <c r="C95" s="26" t="str">
        <f t="shared" si="27"/>
        <v/>
      </c>
      <c r="D95" s="26" t="str">
        <f t="shared" si="27"/>
        <v/>
      </c>
      <c r="E95" s="26" t="str">
        <f t="shared" si="27"/>
        <v/>
      </c>
      <c r="F95" s="29" t="str">
        <f t="shared" si="29"/>
        <v/>
      </c>
      <c r="G95" s="27"/>
      <c r="H95" s="29" t="str">
        <f t="shared" si="28"/>
        <v/>
      </c>
      <c r="I95" s="29" t="str">
        <f t="shared" si="28"/>
        <v/>
      </c>
      <c r="J95" s="29" t="str">
        <f t="shared" si="28"/>
        <v/>
      </c>
      <c r="K95" s="29" t="str">
        <f t="shared" si="28"/>
        <v/>
      </c>
      <c r="L95" s="29" t="str">
        <f t="shared" si="28"/>
        <v/>
      </c>
    </row>
    <row r="96" spans="2:12">
      <c r="B96" s="26" t="str">
        <f t="shared" ref="B96:E97" si="30">IF(LEN(B18)&gt;0,B18,"")</f>
        <v/>
      </c>
      <c r="C96" s="26" t="str">
        <f t="shared" si="30"/>
        <v/>
      </c>
      <c r="D96" s="26" t="str">
        <f t="shared" si="30"/>
        <v/>
      </c>
      <c r="E96" s="26" t="str">
        <f t="shared" si="30"/>
        <v/>
      </c>
      <c r="F96" s="29" t="str">
        <f t="shared" si="29"/>
        <v/>
      </c>
      <c r="G96" s="27"/>
      <c r="H96" s="29" t="str">
        <f t="shared" si="28"/>
        <v/>
      </c>
      <c r="I96" s="29" t="str">
        <f t="shared" si="28"/>
        <v/>
      </c>
      <c r="J96" s="29" t="str">
        <f t="shared" si="28"/>
        <v/>
      </c>
      <c r="K96" s="29" t="str">
        <f t="shared" si="28"/>
        <v/>
      </c>
      <c r="L96" s="29" t="str">
        <f t="shared" si="28"/>
        <v/>
      </c>
    </row>
    <row r="97" spans="2:12">
      <c r="B97" s="26" t="str">
        <f t="shared" si="30"/>
        <v/>
      </c>
      <c r="C97" s="26" t="str">
        <f t="shared" si="30"/>
        <v/>
      </c>
      <c r="D97" s="26" t="str">
        <f t="shared" si="30"/>
        <v/>
      </c>
      <c r="E97" s="26" t="str">
        <f t="shared" si="30"/>
        <v/>
      </c>
      <c r="F97" s="29" t="str">
        <f t="shared" si="29"/>
        <v/>
      </c>
      <c r="G97" s="27"/>
      <c r="H97" s="29" t="str">
        <f t="shared" si="28"/>
        <v/>
      </c>
      <c r="I97" s="29" t="str">
        <f t="shared" si="28"/>
        <v/>
      </c>
      <c r="J97" s="29" t="str">
        <f t="shared" si="28"/>
        <v/>
      </c>
      <c r="K97" s="29" t="str">
        <f t="shared" si="28"/>
        <v/>
      </c>
      <c r="L97" s="29" t="str">
        <f t="shared" si="28"/>
        <v/>
      </c>
    </row>
    <row r="99" spans="2:12">
      <c r="B99" s="39" t="s">
        <v>22</v>
      </c>
      <c r="C99" s="39"/>
      <c r="D99" s="5"/>
      <c r="E99" s="6"/>
      <c r="F99" s="6"/>
      <c r="G99" s="6"/>
      <c r="H99" s="39"/>
      <c r="I99" s="39"/>
      <c r="J99" s="7"/>
      <c r="K99" s="7"/>
    </row>
    <row r="100" spans="2:12" ht="25.5">
      <c r="B100" s="8" t="s">
        <v>2</v>
      </c>
      <c r="C100" s="9" t="s">
        <v>3</v>
      </c>
      <c r="D100" s="8" t="s">
        <v>4</v>
      </c>
      <c r="E100" s="10" t="s">
        <v>5</v>
      </c>
      <c r="F100" s="12" t="s">
        <v>8</v>
      </c>
      <c r="G100" s="12" t="s">
        <v>12</v>
      </c>
      <c r="H100" s="13" t="s">
        <v>6</v>
      </c>
      <c r="I100" s="13" t="s">
        <v>7</v>
      </c>
      <c r="J100" s="13" t="s">
        <v>9</v>
      </c>
      <c r="K100" s="13" t="s">
        <v>10</v>
      </c>
      <c r="L100" s="13" t="s">
        <v>11</v>
      </c>
    </row>
    <row r="101" spans="2:12">
      <c r="B101" s="26">
        <f t="shared" ref="B101:E108" si="31">IF(LEN(B10)&gt;0,B10,"")</f>
        <v>1</v>
      </c>
      <c r="C101" s="26" t="str">
        <f t="shared" si="31"/>
        <v>#3 Lead Pencil</v>
      </c>
      <c r="D101" s="26">
        <f t="shared" si="31"/>
        <v>10000</v>
      </c>
      <c r="E101" s="26" t="str">
        <f t="shared" si="31"/>
        <v>M</v>
      </c>
      <c r="F101" s="30">
        <f>IF(LEN(F10)&gt;0,F10-$G$10,"")</f>
        <v>3.0499999999999972</v>
      </c>
      <c r="G101" s="27"/>
      <c r="H101" s="30">
        <f t="shared" ref="H101:L108" si="32">IF(LEN(H10)&gt;0,H10-$G$10,"")</f>
        <v>0.25</v>
      </c>
      <c r="I101" s="30">
        <f t="shared" si="32"/>
        <v>0</v>
      </c>
      <c r="J101" s="30">
        <f t="shared" si="32"/>
        <v>3.6000000000000014</v>
      </c>
      <c r="K101" s="30">
        <f t="shared" si="32"/>
        <v>3.4799999999999969</v>
      </c>
      <c r="L101" s="30">
        <f t="shared" si="32"/>
        <v>1.3999999999999986</v>
      </c>
    </row>
    <row r="102" spans="2:12">
      <c r="B102" s="26" t="str">
        <f t="shared" si="31"/>
        <v/>
      </c>
      <c r="C102" s="26" t="str">
        <f t="shared" si="31"/>
        <v/>
      </c>
      <c r="D102" s="26" t="str">
        <f t="shared" si="31"/>
        <v/>
      </c>
      <c r="E102" s="26" t="str">
        <f t="shared" si="31"/>
        <v/>
      </c>
      <c r="F102" s="30" t="str">
        <f t="shared" ref="F102:F110" si="33">IF(LEN(F11)&gt;0,F11-$G$10,"")</f>
        <v/>
      </c>
      <c r="G102" s="27"/>
      <c r="H102" s="30" t="str">
        <f t="shared" si="32"/>
        <v/>
      </c>
      <c r="I102" s="30" t="str">
        <f t="shared" si="32"/>
        <v/>
      </c>
      <c r="J102" s="30" t="str">
        <f t="shared" si="32"/>
        <v/>
      </c>
      <c r="K102" s="30" t="str">
        <f t="shared" si="32"/>
        <v/>
      </c>
      <c r="L102" s="30" t="str">
        <f t="shared" si="32"/>
        <v/>
      </c>
    </row>
    <row r="103" spans="2:12">
      <c r="B103" s="26" t="str">
        <f t="shared" si="31"/>
        <v/>
      </c>
      <c r="C103" s="26" t="str">
        <f t="shared" si="31"/>
        <v/>
      </c>
      <c r="D103" s="26" t="str">
        <f t="shared" si="31"/>
        <v/>
      </c>
      <c r="E103" s="26" t="str">
        <f t="shared" si="31"/>
        <v/>
      </c>
      <c r="F103" s="30" t="str">
        <f t="shared" si="33"/>
        <v/>
      </c>
      <c r="G103" s="27"/>
      <c r="H103" s="30" t="str">
        <f t="shared" si="32"/>
        <v/>
      </c>
      <c r="I103" s="30" t="str">
        <f t="shared" si="32"/>
        <v/>
      </c>
      <c r="J103" s="30" t="str">
        <f t="shared" si="32"/>
        <v/>
      </c>
      <c r="K103" s="30" t="str">
        <f t="shared" si="32"/>
        <v/>
      </c>
      <c r="L103" s="30" t="str">
        <f t="shared" si="32"/>
        <v/>
      </c>
    </row>
    <row r="104" spans="2:12">
      <c r="B104" s="26" t="str">
        <f t="shared" si="31"/>
        <v/>
      </c>
      <c r="C104" s="26" t="str">
        <f t="shared" si="31"/>
        <v/>
      </c>
      <c r="D104" s="26" t="str">
        <f t="shared" si="31"/>
        <v/>
      </c>
      <c r="E104" s="26" t="str">
        <f t="shared" si="31"/>
        <v/>
      </c>
      <c r="F104" s="30" t="str">
        <f t="shared" si="33"/>
        <v/>
      </c>
      <c r="G104" s="27"/>
      <c r="H104" s="30" t="str">
        <f t="shared" si="32"/>
        <v/>
      </c>
      <c r="I104" s="30" t="str">
        <f t="shared" si="32"/>
        <v/>
      </c>
      <c r="J104" s="30" t="str">
        <f t="shared" si="32"/>
        <v/>
      </c>
      <c r="K104" s="30" t="str">
        <f t="shared" si="32"/>
        <v/>
      </c>
      <c r="L104" s="30" t="str">
        <f t="shared" si="32"/>
        <v/>
      </c>
    </row>
    <row r="105" spans="2:12">
      <c r="B105" s="26" t="str">
        <f t="shared" si="31"/>
        <v/>
      </c>
      <c r="C105" s="26" t="str">
        <f t="shared" si="31"/>
        <v/>
      </c>
      <c r="D105" s="26" t="str">
        <f t="shared" si="31"/>
        <v/>
      </c>
      <c r="E105" s="26" t="str">
        <f t="shared" si="31"/>
        <v/>
      </c>
      <c r="F105" s="30" t="str">
        <f t="shared" si="33"/>
        <v/>
      </c>
      <c r="G105" s="27"/>
      <c r="H105" s="30" t="str">
        <f t="shared" si="32"/>
        <v/>
      </c>
      <c r="I105" s="30" t="str">
        <f t="shared" si="32"/>
        <v/>
      </c>
      <c r="J105" s="30" t="str">
        <f t="shared" si="32"/>
        <v/>
      </c>
      <c r="K105" s="30" t="str">
        <f t="shared" si="32"/>
        <v/>
      </c>
      <c r="L105" s="30" t="str">
        <f t="shared" si="32"/>
        <v/>
      </c>
    </row>
    <row r="106" spans="2:12">
      <c r="B106" s="26" t="str">
        <f t="shared" si="31"/>
        <v/>
      </c>
      <c r="C106" s="26" t="str">
        <f t="shared" si="31"/>
        <v/>
      </c>
      <c r="D106" s="26" t="str">
        <f t="shared" si="31"/>
        <v/>
      </c>
      <c r="E106" s="26" t="str">
        <f t="shared" si="31"/>
        <v/>
      </c>
      <c r="F106" s="30" t="str">
        <f t="shared" si="33"/>
        <v/>
      </c>
      <c r="G106" s="27"/>
      <c r="H106" s="30" t="str">
        <f t="shared" si="32"/>
        <v/>
      </c>
      <c r="I106" s="30" t="str">
        <f t="shared" si="32"/>
        <v/>
      </c>
      <c r="J106" s="30" t="str">
        <f t="shared" si="32"/>
        <v/>
      </c>
      <c r="K106" s="30" t="str">
        <f t="shared" si="32"/>
        <v/>
      </c>
      <c r="L106" s="30" t="str">
        <f t="shared" si="32"/>
        <v/>
      </c>
    </row>
    <row r="107" spans="2:12">
      <c r="B107" s="26" t="str">
        <f t="shared" si="31"/>
        <v/>
      </c>
      <c r="C107" s="26" t="str">
        <f t="shared" si="31"/>
        <v/>
      </c>
      <c r="D107" s="26" t="str">
        <f t="shared" si="31"/>
        <v/>
      </c>
      <c r="E107" s="26" t="str">
        <f t="shared" si="31"/>
        <v/>
      </c>
      <c r="F107" s="30" t="str">
        <f t="shared" si="33"/>
        <v/>
      </c>
      <c r="G107" s="27"/>
      <c r="H107" s="30" t="str">
        <f t="shared" si="32"/>
        <v/>
      </c>
      <c r="I107" s="30" t="str">
        <f t="shared" si="32"/>
        <v/>
      </c>
      <c r="J107" s="30" t="str">
        <f t="shared" si="32"/>
        <v/>
      </c>
      <c r="K107" s="30" t="str">
        <f t="shared" si="32"/>
        <v/>
      </c>
      <c r="L107" s="30" t="str">
        <f t="shared" si="32"/>
        <v/>
      </c>
    </row>
    <row r="108" spans="2:12">
      <c r="B108" s="26" t="str">
        <f t="shared" si="31"/>
        <v/>
      </c>
      <c r="C108" s="26" t="str">
        <f t="shared" si="31"/>
        <v/>
      </c>
      <c r="D108" s="26" t="str">
        <f t="shared" si="31"/>
        <v/>
      </c>
      <c r="E108" s="26" t="str">
        <f t="shared" si="31"/>
        <v/>
      </c>
      <c r="F108" s="30" t="str">
        <f t="shared" si="33"/>
        <v/>
      </c>
      <c r="G108" s="27"/>
      <c r="H108" s="30" t="str">
        <f t="shared" si="32"/>
        <v/>
      </c>
      <c r="I108" s="30" t="str">
        <f t="shared" si="32"/>
        <v/>
      </c>
      <c r="J108" s="30" t="str">
        <f t="shared" si="32"/>
        <v/>
      </c>
      <c r="K108" s="30" t="str">
        <f t="shared" si="32"/>
        <v/>
      </c>
      <c r="L108" s="30" t="str">
        <f t="shared" si="32"/>
        <v/>
      </c>
    </row>
    <row r="109" spans="2:12">
      <c r="B109" s="26" t="str">
        <f t="shared" ref="B109:E110" si="34">IF(LEN(B18)&gt;0,B18,"")</f>
        <v/>
      </c>
      <c r="C109" s="26" t="str">
        <f t="shared" si="34"/>
        <v/>
      </c>
      <c r="D109" s="26" t="str">
        <f t="shared" si="34"/>
        <v/>
      </c>
      <c r="E109" s="26" t="str">
        <f t="shared" si="34"/>
        <v/>
      </c>
      <c r="F109" s="30" t="str">
        <f t="shared" si="33"/>
        <v/>
      </c>
      <c r="G109" s="27"/>
      <c r="H109" s="30" t="str">
        <f t="shared" ref="H109:L110" si="35">IF(LEN(H18)&gt;0,H18-$G$10,"")</f>
        <v/>
      </c>
      <c r="I109" s="30" t="str">
        <f t="shared" si="35"/>
        <v/>
      </c>
      <c r="J109" s="30" t="str">
        <f t="shared" si="35"/>
        <v/>
      </c>
      <c r="K109" s="30" t="str">
        <f t="shared" si="35"/>
        <v/>
      </c>
      <c r="L109" s="30" t="str">
        <f t="shared" si="35"/>
        <v/>
      </c>
    </row>
    <row r="110" spans="2:12">
      <c r="B110" s="26" t="str">
        <f t="shared" si="34"/>
        <v/>
      </c>
      <c r="C110" s="26" t="str">
        <f t="shared" si="34"/>
        <v/>
      </c>
      <c r="D110" s="26" t="str">
        <f t="shared" si="34"/>
        <v/>
      </c>
      <c r="E110" s="26" t="str">
        <f t="shared" si="34"/>
        <v/>
      </c>
      <c r="F110" s="30" t="str">
        <f t="shared" si="33"/>
        <v/>
      </c>
      <c r="G110" s="27"/>
      <c r="H110" s="30" t="str">
        <f t="shared" si="35"/>
        <v/>
      </c>
      <c r="I110" s="30" t="str">
        <f t="shared" si="35"/>
        <v/>
      </c>
      <c r="J110" s="30" t="str">
        <f t="shared" si="35"/>
        <v/>
      </c>
      <c r="K110" s="30" t="str">
        <f t="shared" si="35"/>
        <v/>
      </c>
      <c r="L110" s="30" t="str">
        <f t="shared" si="35"/>
        <v/>
      </c>
    </row>
    <row r="111" spans="2:12"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</row>
    <row r="112" spans="2:12"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</row>
    <row r="113" spans="2:12"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</row>
    <row r="114" spans="2:12"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</row>
  </sheetData>
  <sheetProtection sheet="1" scenarios="1" formatCells="0" formatColumns="0" formatRows="0" deleteColumns="0" deleteRows="0" sort="0" autoFilter="0" pivotTables="0"/>
  <mergeCells count="18">
    <mergeCell ref="B86:C86"/>
    <mergeCell ref="H86:I86"/>
    <mergeCell ref="B99:C99"/>
    <mergeCell ref="H99:I99"/>
    <mergeCell ref="B60:C60"/>
    <mergeCell ref="H60:I60"/>
    <mergeCell ref="B73:C73"/>
    <mergeCell ref="H73:I73"/>
    <mergeCell ref="B34:C34"/>
    <mergeCell ref="H34:I34"/>
    <mergeCell ref="B47:C47"/>
    <mergeCell ref="H47:I47"/>
    <mergeCell ref="A1:L1"/>
    <mergeCell ref="B8:C8"/>
    <mergeCell ref="H8:I8"/>
    <mergeCell ref="B21:C21"/>
    <mergeCell ref="H21:I21"/>
    <mergeCell ref="B3:C3"/>
  </mergeCells>
  <phoneticPr fontId="6" type="noConversion"/>
  <conditionalFormatting sqref="H5:L5">
    <cfRule type="cellIs" dxfId="10" priority="1" stopIfTrue="1" operator="equal">
      <formula>$G$5</formula>
    </cfRule>
  </conditionalFormatting>
  <conditionalFormatting sqref="H10:L10">
    <cfRule type="cellIs" dxfId="9" priority="2" stopIfTrue="1" operator="equal">
      <formula>$G$10</formula>
    </cfRule>
  </conditionalFormatting>
  <conditionalFormatting sqref="H11:L11">
    <cfRule type="cellIs" dxfId="8" priority="3" stopIfTrue="1" operator="equal">
      <formula>$G$11</formula>
    </cfRule>
  </conditionalFormatting>
  <conditionalFormatting sqref="H12:L12">
    <cfRule type="cellIs" dxfId="7" priority="4" stopIfTrue="1" operator="equal">
      <formula>$G$12</formula>
    </cfRule>
  </conditionalFormatting>
  <conditionalFormatting sqref="H13:L13">
    <cfRule type="cellIs" dxfId="6" priority="5" stopIfTrue="1" operator="equal">
      <formula>$G$13</formula>
    </cfRule>
  </conditionalFormatting>
  <conditionalFormatting sqref="H14:L14">
    <cfRule type="cellIs" dxfId="5" priority="6" stopIfTrue="1" operator="equal">
      <formula>$G$14</formula>
    </cfRule>
  </conditionalFormatting>
  <conditionalFormatting sqref="H15:L15">
    <cfRule type="cellIs" dxfId="4" priority="7" stopIfTrue="1" operator="equal">
      <formula>$G$15</formula>
    </cfRule>
  </conditionalFormatting>
  <conditionalFormatting sqref="H16:L16">
    <cfRule type="cellIs" dxfId="3" priority="8" stopIfTrue="1" operator="equal">
      <formula>$G$16</formula>
    </cfRule>
  </conditionalFormatting>
  <conditionalFormatting sqref="H17:L17">
    <cfRule type="cellIs" dxfId="2" priority="9" stopIfTrue="1" operator="equal">
      <formula>$G$17</formula>
    </cfRule>
  </conditionalFormatting>
  <conditionalFormatting sqref="H18:L18">
    <cfRule type="cellIs" dxfId="1" priority="10" stopIfTrue="1" operator="equal">
      <formula>$G$18</formula>
    </cfRule>
  </conditionalFormatting>
  <conditionalFormatting sqref="H19:L19">
    <cfRule type="cellIs" dxfId="0" priority="11" stopIfTrue="1" operator="equal">
      <formula>$G$19</formula>
    </cfRule>
  </conditionalFormatting>
  <pageMargins left="0.56999999999999995" right="0.26" top="1" bottom="0.64" header="0.5" footer="0.5"/>
  <pageSetup orientation="landscape" horizontalDpi="300" verticalDpi="300" r:id="rId1"/>
  <headerFooter alignWithMargins="0"/>
  <rowBreaks count="2" manualBreakCount="2">
    <brk id="58" max="16383" man="1"/>
    <brk id="84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ISV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Buyer Analytics</dc:creator>
  <cp:lastModifiedBy>Buyer Analytics</cp:lastModifiedBy>
  <cp:lastPrinted>2006-10-26T03:28:01Z</cp:lastPrinted>
  <dcterms:created xsi:type="dcterms:W3CDTF">2006-10-15T16:07:26Z</dcterms:created>
  <dcterms:modified xsi:type="dcterms:W3CDTF">2007-06-02T19:12:58Z</dcterms:modified>
</cp:coreProperties>
</file>